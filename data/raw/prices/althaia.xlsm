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althaiasp-my.sharepoint.com/personal/talita_nascimento_althaia_com_br/Documents/Área de Trabalho/"/>
    </mc:Choice>
  </mc:AlternateContent>
  <xr:revisionPtr revIDLastSave="0" documentId="8_{3B287204-1B9C-43A1-BE1F-6B5E5A26CB45}" xr6:coauthVersionLast="47" xr6:coauthVersionMax="47" xr10:uidLastSave="{00000000-0000-0000-0000-000000000000}"/>
  <bookViews>
    <workbookView xWindow="-110" yWindow="-110" windowWidth="19420" windowHeight="10300" xr2:uid="{4F4506A0-4378-43CC-B69A-38D8959304A4}"/>
  </bookViews>
  <sheets>
    <sheet name="BASE RJ" sheetId="2" r:id="rId1"/>
    <sheet name="BASE ES" sheetId="3" r:id="rId2"/>
  </sheets>
  <definedNames>
    <definedName name="_xlnm._FilterDatabase" localSheetId="1" hidden="1">'BASE ES'!$A$1:$J$91</definedName>
    <definedName name="_xlnm._FilterDatabase" localSheetId="0" hidden="1">'BASE RJ'!$A$1:$F$95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" i="2" l="1"/>
  <c r="F6" i="2"/>
  <c r="F7" i="2"/>
  <c r="F8" i="2"/>
  <c r="F9" i="2"/>
  <c r="F10" i="2"/>
  <c r="F11" i="2"/>
  <c r="F12" i="2"/>
  <c r="F13" i="2"/>
  <c r="F14" i="2"/>
  <c r="F17" i="2"/>
  <c r="F18" i="2"/>
  <c r="F19" i="2"/>
  <c r="F20" i="2"/>
  <c r="F21" i="2"/>
  <c r="F22" i="2"/>
  <c r="F23" i="2"/>
  <c r="F24" i="2"/>
  <c r="F25" i="2"/>
  <c r="F26" i="2"/>
  <c r="F29" i="2"/>
  <c r="F30" i="2"/>
  <c r="F31" i="2"/>
  <c r="F32" i="2"/>
  <c r="F33" i="2"/>
  <c r="F34" i="2"/>
  <c r="F35" i="2"/>
  <c r="F36" i="2"/>
  <c r="F37" i="2"/>
  <c r="F38" i="2"/>
  <c r="F41" i="2"/>
  <c r="F42" i="2"/>
  <c r="F43" i="2"/>
  <c r="F44" i="2"/>
  <c r="F45" i="2"/>
  <c r="F46" i="2"/>
  <c r="F47" i="2"/>
  <c r="F48" i="2"/>
  <c r="F49" i="2"/>
  <c r="F50" i="2"/>
  <c r="F53" i="2"/>
  <c r="F54" i="2"/>
  <c r="F55" i="2"/>
  <c r="F56" i="2"/>
  <c r="F57" i="2"/>
  <c r="F58" i="2"/>
  <c r="F59" i="2"/>
  <c r="F60" i="2"/>
  <c r="F61" i="2"/>
  <c r="F62" i="2"/>
  <c r="F65" i="2"/>
  <c r="F66" i="2"/>
  <c r="F67" i="2"/>
  <c r="F68" i="2"/>
  <c r="F69" i="2"/>
  <c r="F70" i="2"/>
  <c r="F71" i="2"/>
  <c r="F72" i="2"/>
  <c r="F73" i="2"/>
  <c r="F74" i="2"/>
  <c r="F77" i="2"/>
  <c r="F78" i="2"/>
  <c r="F79" i="2"/>
  <c r="F80" i="2"/>
  <c r="F81" i="2"/>
  <c r="F82" i="2"/>
  <c r="F83" i="2"/>
  <c r="F84" i="2"/>
  <c r="F85" i="2"/>
  <c r="F86" i="2"/>
  <c r="F89" i="2"/>
  <c r="F90" i="2"/>
  <c r="F91" i="2"/>
  <c r="F92" i="2"/>
  <c r="F93" i="2"/>
  <c r="F94" i="2"/>
  <c r="F95" i="2"/>
  <c r="F2" i="2"/>
  <c r="F3" i="2"/>
  <c r="F4" i="2"/>
  <c r="F15" i="2"/>
  <c r="F16" i="2"/>
  <c r="F27" i="2"/>
  <c r="F28" i="2"/>
  <c r="F39" i="2"/>
  <c r="F40" i="2"/>
  <c r="F51" i="2"/>
  <c r="F52" i="2"/>
  <c r="F63" i="2"/>
  <c r="F64" i="2"/>
  <c r="F75" i="2"/>
  <c r="F76" i="2"/>
  <c r="F87" i="2"/>
  <c r="F88" i="2"/>
</calcChain>
</file>

<file path=xl/sharedStrings.xml><?xml version="1.0" encoding="utf-8"?>
<sst xmlns="http://schemas.openxmlformats.org/spreadsheetml/2006/main" count="383" uniqueCount="107">
  <si>
    <t>Código</t>
  </si>
  <si>
    <t>EAN</t>
  </si>
  <si>
    <t>Marca</t>
  </si>
  <si>
    <t>Descrição</t>
  </si>
  <si>
    <t>PF</t>
  </si>
  <si>
    <t>DESCONTO</t>
  </si>
  <si>
    <t>PREÇO</t>
  </si>
  <si>
    <t>PREÇO ST</t>
  </si>
  <si>
    <t>ALTHAIA</t>
  </si>
  <si>
    <t>ALTHAIA SIMILAR</t>
  </si>
  <si>
    <t>EQUALIV</t>
  </si>
  <si>
    <t>CLORMADINONA+ETINILESTRADIOL 21CPD G EQL</t>
  </si>
  <si>
    <t>METILFENIDATO 10MG 30CPD (A3) G ALT</t>
  </si>
  <si>
    <t>METILFENIDATO 10MG 60CPD (A3) G ALT</t>
  </si>
  <si>
    <t>CRESLIP 10MG 30CPD ALT</t>
  </si>
  <si>
    <t>CRESLIP 20MG 30CPD ALT</t>
  </si>
  <si>
    <t>CRESLIP 5MG 30CPD ALT</t>
  </si>
  <si>
    <t>DESVENLAFAXINA 100MG 30CPD LP (C1) G ALT</t>
  </si>
  <si>
    <t>DESVENLAFAXINA 50MG 30CPD LP (C1) G ALT</t>
  </si>
  <si>
    <t>DESVENLAFAXINA 50MG 60CPD LP (C1) G ALT</t>
  </si>
  <si>
    <t>BETAISTINA 16MG 30CPD G ALT</t>
  </si>
  <si>
    <t>DIENOGESTE 2MG 30CPD G ALT</t>
  </si>
  <si>
    <t>DROSPIRENONA+ETINILES 3+0,02 24CPD G ALT</t>
  </si>
  <si>
    <t>CARTLIV 40MG 30CAP EQL</t>
  </si>
  <si>
    <t>CARTLIV 40MG 60CAP EQL</t>
  </si>
  <si>
    <t>CREATINA 300G EQL</t>
  </si>
  <si>
    <t>CREATINA MONOHIDRATADA 150G EQL</t>
  </si>
  <si>
    <t>CREATINA MONOHIDRATADA 300G EQL</t>
  </si>
  <si>
    <t>MELATONINA 0,21MG 120CPD SBL EQL</t>
  </si>
  <si>
    <t>MELATONINA 210MCG GTS 30ML EQL</t>
  </si>
  <si>
    <t>EQUALIV OMEGA 3 120CAP EQL</t>
  </si>
  <si>
    <t>VITAMINA C 1G 10CPD EQL</t>
  </si>
  <si>
    <t>VITAMINA C 1G 30CPD EQL</t>
  </si>
  <si>
    <t>VITAMINA C 500MG 30CPD EQL</t>
  </si>
  <si>
    <t>VITAMINA D KIDS 20ML EQL</t>
  </si>
  <si>
    <t>ETODOLACO 500MG 14CPD G ALT</t>
  </si>
  <si>
    <t>EZETIMIBA 10MG 30CPD G ALT</t>
  </si>
  <si>
    <t>EZETIMIBA 10MG 60CPD G ALT</t>
  </si>
  <si>
    <t>IBANDRONATO SODIO 150MG 1CPD G ALT</t>
  </si>
  <si>
    <t>IBUPROFENO 400MG GEL MOLE 10CAP G ALT</t>
  </si>
  <si>
    <t>IBUPROFENO 600MG 10CAP G ALT</t>
  </si>
  <si>
    <t>IROSE 500MG 6CPD EQ ALT</t>
  </si>
  <si>
    <t>IROSE 20MG/ML PO SP OR 100ML ALT</t>
  </si>
  <si>
    <t>IROSE 20MG/ML PO SP OR 45ML ALT</t>
  </si>
  <si>
    <t>ISOTRETINOINA 20MG 30CAP (C2) G ALT</t>
  </si>
  <si>
    <t>LAMOTRIGINA 100MG 30CPD (C1) G ALT</t>
  </si>
  <si>
    <t>LAMOTRIGINA 50MG 30CPD (C1) G ALT</t>
  </si>
  <si>
    <t>TRIMEBUTINA 200MG 30CAP G ALT</t>
  </si>
  <si>
    <t>MIRABEGRONA 50MG 30CPD LP G ALT</t>
  </si>
  <si>
    <t>NITAZOXANIDA 500MG 6CPD G ALT</t>
  </si>
  <si>
    <t>NITAZOXANIDA 20MG/ML SP OR 100ML G ALT</t>
  </si>
  <si>
    <t>NITAZOXANIDA 20MG/ML PO SP OR 45ML G ALT</t>
  </si>
  <si>
    <t>OLMESARTANA MEDOXOMILA 20MG 30CPD G ALT</t>
  </si>
  <si>
    <t>OLMESARTANA MEDOXOMILA 40MG 30CPD G ALT</t>
  </si>
  <si>
    <t>ONDANSETRONA 4MG 10CPD ODT G ALT</t>
  </si>
  <si>
    <t>ONDANSETRONA 4MG 30CPD ODT G ALT</t>
  </si>
  <si>
    <t>ONDANSETRONA 8MG 10CPD ODT G ALT</t>
  </si>
  <si>
    <t>ONDANSETRONA 8MG 30CPD ODT G ALT</t>
  </si>
  <si>
    <t>PREDNISOLONA 20MG 10CPD G ALT</t>
  </si>
  <si>
    <t>PREDNISOLONA 40MG 7CPD G ALT</t>
  </si>
  <si>
    <t>PREDNISOLONA 40MG 10CPD G ALT</t>
  </si>
  <si>
    <t>PREDNISOLONA 5MG 10CPD G ALT</t>
  </si>
  <si>
    <t>PREDNISOLONA 5MG 20CPD G ALT</t>
  </si>
  <si>
    <t>PREGABALINA 150MG 30CAP (C1) G ALT</t>
  </si>
  <si>
    <t>PREGABALINA 75MG 30CAP (C1) G ALT</t>
  </si>
  <si>
    <t>PROPAFENONA 150MG 60CPD G ALT</t>
  </si>
  <si>
    <t>PROPAFENONA 150MG 90CPD G ALT</t>
  </si>
  <si>
    <t>PROPAFENONA 300MG 30CPD G ALT</t>
  </si>
  <si>
    <t>PROPAFENONA 300MG 60CPD G ALT</t>
  </si>
  <si>
    <t>RISEDRONATO SODICO 150MG 1CPD G ALT</t>
  </si>
  <si>
    <t>ROSUVASTATINA CALCICA 10MG 30CPD G ALT</t>
  </si>
  <si>
    <t>ROSUVASTATINA CALCICA 20MG 30CPD G ALT</t>
  </si>
  <si>
    <t>ROSUVASTATINA CALCICA 40MG 30CPD G ALT</t>
  </si>
  <si>
    <t>ROSUVASTATINA CALCICA 5MG 30CPD G ALT</t>
  </si>
  <si>
    <t>TELMISARTANA 40MG 30CPD G ALT</t>
  </si>
  <si>
    <t>TELMISARTANA 80MG 30CPD G ALT</t>
  </si>
  <si>
    <t>TRAZODONA 100MG 30CPD (C1) G ALT</t>
  </si>
  <si>
    <t>TRAZODONA 50MG 60CPD (C1) G ALT</t>
  </si>
  <si>
    <t>VALSARTANA 160MG 30CPD G ALT</t>
  </si>
  <si>
    <t>VALSARTANA 80MG 30CPD G ALT</t>
  </si>
  <si>
    <t>VILDAGLIPTINA 50MG 30CPD G ALT</t>
  </si>
  <si>
    <t>VILDAGLIPTINA 50MG 60CPD G ALT</t>
  </si>
  <si>
    <t>VILDAGLIPTINA 50+1000MG 60CPD G ALT</t>
  </si>
  <si>
    <t>VILDAGLIPTINA 50+850MG 60CPD G ALT</t>
  </si>
  <si>
    <t>VITAMINA D3 10.000UI 4CAP ALT</t>
  </si>
  <si>
    <t>VITAMINA D3 10.000UI 8CAP ALT</t>
  </si>
  <si>
    <t>VITAMINA D3 10.000UI 30CAP ALT</t>
  </si>
  <si>
    <t>VITAMINA D3 15.000UI 4CAP ALT</t>
  </si>
  <si>
    <t>VITAMINA D3 15.000UI 10CAP ALT</t>
  </si>
  <si>
    <t>VITAMINA D3 2.000UI 30CAP ALT</t>
  </si>
  <si>
    <t>VITAMINA D3 5.000UI 30CAP ALT</t>
  </si>
  <si>
    <t>VITAMINA D3 50.000UI 4CAP ALT</t>
  </si>
  <si>
    <t>VITAMINA D3 50.000UI 8CAP ALT</t>
  </si>
  <si>
    <t>VITAMINA D3 50.000UI 10CAP ALT</t>
  </si>
  <si>
    <t>VITAMINA D3 7.000UI 4CAP ALT</t>
  </si>
  <si>
    <t>VITAMINA D3 7.000UI 8CAP ALT</t>
  </si>
  <si>
    <t>VITAMINA D3 7.000UI 30CAP ALT</t>
  </si>
  <si>
    <t>VORTIOXETINA 10MG 30CPD (C1) G ALT</t>
  </si>
  <si>
    <t>VORTIOXETINA 10MG 60CPD (C1) G ALT</t>
  </si>
  <si>
    <t>VORTIOXETINA 15MG 30CPD (C1) G ALT</t>
  </si>
  <si>
    <t>VORTIOXETINA 15MG 60CPD (C1) G ALT</t>
  </si>
  <si>
    <t>VORTIOXETINA 20MG 30CPD (C1) G ALT</t>
  </si>
  <si>
    <t>VORTIOXETINA 5MG 30CPD (C1) G ALT</t>
  </si>
  <si>
    <t>ZOLPIDEM 5MG 30CPD SBL (B1) G ALT</t>
  </si>
  <si>
    <t>ZOLPIDEM 5MG 60CPD SBL (B1) G ALT</t>
  </si>
  <si>
    <t>REBAIXA</t>
  </si>
  <si>
    <t>ESTOQUE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</si>
</sst>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5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name val="Calibri"/>
      <family val="2"/>
    </font>
    <font>
      <b/>
      <sz val="10"/>
      <color theme="0"/>
      <name val="Inter 18pt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/>
  </cellStyleXfs>
  <cellXfs count="14">
    <xf numFmtId="0" fontId="0" fillId="0" borderId="0" xfId="0"/>
    <xf numFmtId="1" fontId="2" fillId="2" borderId="1" xfId="0" applyNumberFormat="1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10" fontId="2" fillId="3" borderId="1" xfId="2" applyNumberFormat="1" applyFont="1" applyFill="1" applyBorder="1" applyAlignment="1">
      <alignment horizontal="center" vertical="center"/>
    </xf>
    <xf numFmtId="44" fontId="2" fillId="3" borderId="1" xfId="1" applyFont="1" applyFill="1" applyBorder="1" applyAlignment="1">
      <alignment horizontal="center" vertical="center"/>
    </xf>
    <xf numFmtId="44" fontId="4" fillId="3" borderId="1" xfId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44" fontId="0" fillId="0" borderId="1" xfId="1" applyFont="1" applyBorder="1" applyAlignment="1">
      <alignment horizontal="center" vertical="center"/>
    </xf>
    <xf numFmtId="10" fontId="0" fillId="0" borderId="1" xfId="2" applyNumberFormat="1" applyFont="1" applyBorder="1" applyAlignment="1">
      <alignment horizontal="center" vertical="center"/>
    </xf>
    <xf numFmtId="44" fontId="0" fillId="0" borderId="1" xfId="0" applyNumberFormat="1" applyBorder="1" applyAlignment="1">
      <alignment horizontal="center" vertical="center"/>
    </xf>
    <xf numFmtId="44" fontId="0" fillId="0" borderId="0" xfId="0" applyNumberFormat="1"/>
    <xf numFmtId="0" fontId="0" fillId="4" borderId="1" xfId="0" applyFill="1" applyBorder="1" applyAlignment="1">
      <alignment horizontal="center" vertical="center"/>
    </xf>
    <xf numFmtId="44" fontId="0" fillId="4" borderId="1" xfId="1" applyFont="1" applyFill="1" applyBorder="1" applyAlignment="1">
      <alignment horizontal="center" vertical="center"/>
    </xf>
  </cellXfs>
  <cellStyles count="4">
    <cellStyle name="Moeda" xfId="1" builtinId="4"/>
    <cellStyle name="Normal" xfId="0" builtinId="0"/>
    <cellStyle name="Normal 2" xfId="3" xr:uid="{23E67633-B96B-4914-96BA-B062C6976AB0}"/>
    <cellStyle name="Porcentagem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50281-077E-4AC2-AD0F-A0F2B40B8EC9}">
  <sheetPr codeName="Planilha1"/>
  <dimension ref="A1:F95"/>
  <sheetViews>
    <sheetView tabSelected="1" topLeftCell="A58" zoomScale="98" zoomScaleNormal="98" workbookViewId="0">
      <selection activeCell="D58" sqref="D58"/>
    </sheetView>
  </sheetViews>
  <sheetFormatPr defaultColWidth="20" defaultRowHeight="14.5"/>
  <cols>
    <col min="1" max="1" width="7" bestFit="1" customWidth="1"/>
    <col min="2" max="2" width="14.08984375" bestFit="1" customWidth="1"/>
    <col min="3" max="3" width="14.81640625" bestFit="1" customWidth="1"/>
    <col min="4" max="4" width="42.6328125" bestFit="1" customWidth="1"/>
    <col min="5" max="5" width="12.7265625" bestFit="1" customWidth="1"/>
    <col min="6" max="6" width="0" hidden="1" customWidth="1"/>
  </cols>
  <sheetData>
    <row r="1" spans="1:6">
      <c r="A1" s="1" t="s">
        <v>0</v>
      </c>
      <c r="B1" s="1" t="s">
        <v>1</v>
      </c>
      <c r="C1" s="2" t="s">
        <v>2</v>
      </c>
      <c r="D1" s="2" t="s">
        <v>3</v>
      </c>
      <c r="E1" s="4" t="s">
        <v>6</v>
      </c>
    </row>
    <row r="2" spans="1:6">
      <c r="A2" s="6">
        <v>171213</v>
      </c>
      <c r="B2" s="7">
        <v>7898569762742</v>
      </c>
      <c r="C2" s="6" t="s">
        <v>8</v>
      </c>
      <c r="D2" s="6" t="s">
        <v>11</v>
      </c>
      <c r="E2" s="8">
        <v>15.767123287671232</v>
      </c>
      <c r="F2" s="11" t="e">
        <f>#REF!-E2</f>
        <v>#REF!</v>
      </c>
    </row>
    <row r="3" spans="1:6">
      <c r="A3" s="6">
        <v>171796</v>
      </c>
      <c r="B3" s="7">
        <v>7898687730289</v>
      </c>
      <c r="C3" s="6" t="s">
        <v>8</v>
      </c>
      <c r="D3" s="12" t="s">
        <v>12</v>
      </c>
      <c r="E3" s="13">
        <v>17.888499999999997</v>
      </c>
      <c r="F3" s="11" t="e">
        <f>#REF!-E3</f>
        <v>#REF!</v>
      </c>
    </row>
    <row r="4" spans="1:6">
      <c r="A4" s="6">
        <v>171798</v>
      </c>
      <c r="B4" s="7">
        <v>7898687730296</v>
      </c>
      <c r="C4" s="6" t="s">
        <v>8</v>
      </c>
      <c r="D4" s="6" t="s">
        <v>13</v>
      </c>
      <c r="E4" s="8">
        <v>41.3155</v>
      </c>
      <c r="F4" s="11" t="e">
        <f>#REF!-E4</f>
        <v>#REF!</v>
      </c>
    </row>
    <row r="5" spans="1:6">
      <c r="A5" s="6">
        <v>167754</v>
      </c>
      <c r="B5" s="7">
        <v>7898569761738</v>
      </c>
      <c r="C5" s="6" t="s">
        <v>9</v>
      </c>
      <c r="D5" s="6" t="s">
        <v>14</v>
      </c>
      <c r="E5" s="8">
        <v>8.5975000000000001</v>
      </c>
      <c r="F5" s="11" t="e">
        <f>#REF!-E5</f>
        <v>#REF!</v>
      </c>
    </row>
    <row r="6" spans="1:6">
      <c r="A6" s="6">
        <v>167746</v>
      </c>
      <c r="B6" s="7">
        <v>7898569761776</v>
      </c>
      <c r="C6" s="6" t="s">
        <v>9</v>
      </c>
      <c r="D6" s="6" t="s">
        <v>15</v>
      </c>
      <c r="E6" s="8">
        <v>13.565999999999999</v>
      </c>
      <c r="F6" s="11" t="e">
        <f>#REF!-E6</f>
        <v>#REF!</v>
      </c>
    </row>
    <row r="7" spans="1:6">
      <c r="A7" s="6">
        <v>167762</v>
      </c>
      <c r="B7" s="7">
        <v>7898569761691</v>
      </c>
      <c r="C7" s="6" t="s">
        <v>9</v>
      </c>
      <c r="D7" s="6" t="s">
        <v>16</v>
      </c>
      <c r="E7" s="8">
        <v>6.0514999999999999</v>
      </c>
      <c r="F7" s="11" t="e">
        <f>#REF!-E7</f>
        <v>#REF!</v>
      </c>
    </row>
    <row r="8" spans="1:6">
      <c r="A8" s="6">
        <v>156493</v>
      </c>
      <c r="B8" s="7">
        <v>7898569764753</v>
      </c>
      <c r="C8" s="6" t="s">
        <v>8</v>
      </c>
      <c r="D8" s="6" t="s">
        <v>17</v>
      </c>
      <c r="E8" s="8">
        <v>30.2575</v>
      </c>
      <c r="F8" s="11" t="e">
        <f>#REF!-E8</f>
        <v>#REF!</v>
      </c>
    </row>
    <row r="9" spans="1:6">
      <c r="A9" s="6">
        <v>175983</v>
      </c>
      <c r="B9" s="7">
        <v>7898569767556</v>
      </c>
      <c r="C9" s="6" t="s">
        <v>8</v>
      </c>
      <c r="D9" s="6" t="s">
        <v>18</v>
      </c>
      <c r="E9" s="8">
        <v>20.833499999999997</v>
      </c>
      <c r="F9" s="11" t="e">
        <f>#REF!-E9</f>
        <v>#REF!</v>
      </c>
    </row>
    <row r="10" spans="1:6">
      <c r="A10" s="6">
        <v>178281</v>
      </c>
      <c r="B10" s="7">
        <v>7898569767563</v>
      </c>
      <c r="C10" s="6" t="s">
        <v>8</v>
      </c>
      <c r="D10" s="6" t="s">
        <v>19</v>
      </c>
      <c r="E10" s="8">
        <v>54.452054794520549</v>
      </c>
      <c r="F10" s="11" t="e">
        <f>#REF!-E10</f>
        <v>#REF!</v>
      </c>
    </row>
    <row r="11" spans="1:6">
      <c r="A11" s="6">
        <v>134988</v>
      </c>
      <c r="B11" s="7">
        <v>7898569763107</v>
      </c>
      <c r="C11" s="6" t="s">
        <v>8</v>
      </c>
      <c r="D11" s="12" t="s">
        <v>20</v>
      </c>
      <c r="E11" s="13">
        <v>6.0514999999999999</v>
      </c>
      <c r="F11" s="11" t="e">
        <f>#REF!-E11</f>
        <v>#REF!</v>
      </c>
    </row>
    <row r="12" spans="1:6">
      <c r="A12" s="6">
        <v>170120</v>
      </c>
      <c r="B12" s="7">
        <v>7898569764401</v>
      </c>
      <c r="C12" s="6" t="s">
        <v>8</v>
      </c>
      <c r="D12" s="6" t="s">
        <v>21</v>
      </c>
      <c r="E12" s="8">
        <v>14.829499999999999</v>
      </c>
      <c r="F12" s="11" t="e">
        <f>#REF!-E12</f>
        <v>#REF!</v>
      </c>
    </row>
    <row r="13" spans="1:6">
      <c r="A13" s="6">
        <v>129941</v>
      </c>
      <c r="B13" s="7">
        <v>7898945030427</v>
      </c>
      <c r="C13" s="6" t="s">
        <v>8</v>
      </c>
      <c r="D13" s="6" t="s">
        <v>22</v>
      </c>
      <c r="E13" s="8">
        <v>22.356321839080458</v>
      </c>
      <c r="F13" s="11" t="e">
        <f>#REF!-E13</f>
        <v>#REF!</v>
      </c>
    </row>
    <row r="14" spans="1:6">
      <c r="A14" s="6">
        <v>161268</v>
      </c>
      <c r="B14" s="7">
        <v>7898946435528</v>
      </c>
      <c r="C14" s="6" t="s">
        <v>10</v>
      </c>
      <c r="D14" s="6" t="s">
        <v>23</v>
      </c>
      <c r="E14" s="8">
        <v>42.673999999999999</v>
      </c>
      <c r="F14" s="11" t="e">
        <f>#REF!-E14</f>
        <v>#REF!</v>
      </c>
    </row>
    <row r="15" spans="1:6">
      <c r="A15" s="6">
        <v>161276</v>
      </c>
      <c r="B15" s="7">
        <v>7898946435535</v>
      </c>
      <c r="C15" s="6" t="s">
        <v>10</v>
      </c>
      <c r="D15" s="6" t="s">
        <v>24</v>
      </c>
      <c r="E15" s="8">
        <v>39.158821743091409</v>
      </c>
      <c r="F15" s="11" t="e">
        <f>#REF!-E15</f>
        <v>#REF!</v>
      </c>
    </row>
    <row r="16" spans="1:6">
      <c r="A16" s="6">
        <v>171212</v>
      </c>
      <c r="B16" s="7">
        <v>7898687730821</v>
      </c>
      <c r="C16" s="6" t="s">
        <v>10</v>
      </c>
      <c r="D16" s="6" t="s">
        <v>25</v>
      </c>
      <c r="E16" s="8">
        <v>205.99757060431216</v>
      </c>
      <c r="F16" s="11" t="e">
        <f>#REF!-E16</f>
        <v>#REF!</v>
      </c>
    </row>
    <row r="17" spans="1:6">
      <c r="A17" s="6">
        <v>179779</v>
      </c>
      <c r="B17" s="7">
        <v>7898687738193</v>
      </c>
      <c r="C17" s="6" t="s">
        <v>10</v>
      </c>
      <c r="D17" s="6" t="s">
        <v>26</v>
      </c>
      <c r="E17" s="8">
        <v>42.438505921651988</v>
      </c>
      <c r="F17" s="11" t="e">
        <f>#REF!-E17</f>
        <v>#REF!</v>
      </c>
    </row>
    <row r="18" spans="1:6">
      <c r="A18" s="6">
        <v>178997</v>
      </c>
      <c r="B18" s="7">
        <v>7898687735819</v>
      </c>
      <c r="C18" s="6" t="s">
        <v>10</v>
      </c>
      <c r="D18" s="6" t="s">
        <v>27</v>
      </c>
      <c r="E18" s="8">
        <v>88.566656544184639</v>
      </c>
      <c r="F18" s="11" t="e">
        <f>#REF!-E18</f>
        <v>#REF!</v>
      </c>
    </row>
    <row r="19" spans="1:6">
      <c r="A19" s="6">
        <v>173082</v>
      </c>
      <c r="B19" s="7">
        <v>7898687731996</v>
      </c>
      <c r="C19" s="6" t="s">
        <v>10</v>
      </c>
      <c r="D19" s="6" t="s">
        <v>28</v>
      </c>
      <c r="E19" s="8">
        <v>22.608563619799575</v>
      </c>
      <c r="F19" s="11" t="e">
        <f>#REF!-E19</f>
        <v>#REF!</v>
      </c>
    </row>
    <row r="20" spans="1:6">
      <c r="A20" s="6">
        <v>173112</v>
      </c>
      <c r="B20" s="7">
        <v>7898687732559</v>
      </c>
      <c r="C20" s="6" t="s">
        <v>10</v>
      </c>
      <c r="D20" s="6" t="s">
        <v>29</v>
      </c>
      <c r="E20" s="8">
        <v>16.919499999999999</v>
      </c>
      <c r="F20" s="11" t="e">
        <f>#REF!-E20</f>
        <v>#REF!</v>
      </c>
    </row>
    <row r="21" spans="1:6">
      <c r="A21" s="6">
        <v>161381</v>
      </c>
      <c r="B21" s="7">
        <v>7898946434125</v>
      </c>
      <c r="C21" s="6" t="s">
        <v>10</v>
      </c>
      <c r="D21" s="6" t="s">
        <v>30</v>
      </c>
      <c r="E21" s="8">
        <v>51.897965381111455</v>
      </c>
      <c r="F21" s="11" t="e">
        <f>#REF!-E21</f>
        <v>#REF!</v>
      </c>
    </row>
    <row r="22" spans="1:6">
      <c r="A22" s="6">
        <v>178989</v>
      </c>
      <c r="B22" s="7">
        <v>7898687737707</v>
      </c>
      <c r="C22" s="6" t="s">
        <v>10</v>
      </c>
      <c r="D22" s="12" t="s">
        <v>31</v>
      </c>
      <c r="E22" s="13">
        <v>7.9259034315214087</v>
      </c>
      <c r="F22" s="11" t="e">
        <f>#REF!-E22</f>
        <v>#REF!</v>
      </c>
    </row>
    <row r="23" spans="1:6">
      <c r="A23" s="6">
        <v>178990</v>
      </c>
      <c r="B23" s="7">
        <v>7898687737714</v>
      </c>
      <c r="C23" s="6" t="s">
        <v>10</v>
      </c>
      <c r="D23" s="12" t="s">
        <v>32</v>
      </c>
      <c r="E23" s="13">
        <v>17.233525660491953</v>
      </c>
      <c r="F23" s="11" t="e">
        <f>#REF!-E23</f>
        <v>#REF!</v>
      </c>
    </row>
    <row r="24" spans="1:6">
      <c r="A24" s="6">
        <v>161284</v>
      </c>
      <c r="B24" s="7">
        <v>7898946435573</v>
      </c>
      <c r="C24" s="6" t="s">
        <v>10</v>
      </c>
      <c r="D24" s="12" t="s">
        <v>33</v>
      </c>
      <c r="E24" s="13">
        <v>9.0068000000000001</v>
      </c>
      <c r="F24" s="11" t="e">
        <f>#REF!-E24</f>
        <v>#REF!</v>
      </c>
    </row>
    <row r="25" spans="1:6">
      <c r="A25" s="6">
        <v>161497</v>
      </c>
      <c r="B25" s="7">
        <v>7898946434323</v>
      </c>
      <c r="C25" s="6" t="s">
        <v>10</v>
      </c>
      <c r="D25" s="6" t="s">
        <v>34</v>
      </c>
      <c r="E25" s="8">
        <v>23.944731248102034</v>
      </c>
      <c r="F25" s="11" t="e">
        <f>#REF!-E25</f>
        <v>#REF!</v>
      </c>
    </row>
    <row r="26" spans="1:6">
      <c r="A26" s="6">
        <v>179206</v>
      </c>
      <c r="B26" s="7">
        <v>7898687733990</v>
      </c>
      <c r="C26" s="6" t="s">
        <v>8</v>
      </c>
      <c r="D26" s="6" t="s">
        <v>35</v>
      </c>
      <c r="E26" s="8">
        <v>17.385000000000002</v>
      </c>
      <c r="F26" s="11" t="e">
        <f>#REF!-E26</f>
        <v>#REF!</v>
      </c>
    </row>
    <row r="27" spans="1:6">
      <c r="A27" s="6">
        <v>137090</v>
      </c>
      <c r="B27" s="7">
        <v>7898569762674</v>
      </c>
      <c r="C27" s="6" t="s">
        <v>8</v>
      </c>
      <c r="D27" s="6" t="s">
        <v>36</v>
      </c>
      <c r="E27" s="8">
        <v>13.87</v>
      </c>
      <c r="F27" s="11" t="e">
        <f>#REF!-E27</f>
        <v>#REF!</v>
      </c>
    </row>
    <row r="28" spans="1:6">
      <c r="A28" s="6">
        <v>137103</v>
      </c>
      <c r="B28" s="7">
        <v>7898569762681</v>
      </c>
      <c r="C28" s="6" t="s">
        <v>8</v>
      </c>
      <c r="D28" s="12" t="s">
        <v>37</v>
      </c>
      <c r="E28" s="13">
        <v>27.74</v>
      </c>
      <c r="F28" s="11" t="e">
        <f>#REF!-E28</f>
        <v>#REF!</v>
      </c>
    </row>
    <row r="29" spans="1:6">
      <c r="A29" s="6">
        <v>170048</v>
      </c>
      <c r="B29" s="7">
        <v>7898569763633</v>
      </c>
      <c r="C29" s="6" t="s">
        <v>8</v>
      </c>
      <c r="D29" s="12" t="s">
        <v>38</v>
      </c>
      <c r="E29" s="13">
        <v>14.487499999999999</v>
      </c>
      <c r="F29" s="11" t="e">
        <f>#REF!-E29</f>
        <v>#REF!</v>
      </c>
    </row>
    <row r="30" spans="1:6">
      <c r="A30" s="6">
        <v>176402</v>
      </c>
      <c r="B30" s="7">
        <v>7898687730722</v>
      </c>
      <c r="C30" s="6" t="s">
        <v>8</v>
      </c>
      <c r="D30" s="6" t="s">
        <v>39</v>
      </c>
      <c r="E30" s="8">
        <v>10.469591993841417</v>
      </c>
      <c r="F30" s="11" t="e">
        <f>#REF!-E30</f>
        <v>#REF!</v>
      </c>
    </row>
    <row r="31" spans="1:6">
      <c r="A31" s="6">
        <v>172260</v>
      </c>
      <c r="B31" s="7">
        <v>7898687730500</v>
      </c>
      <c r="C31" s="6" t="s">
        <v>8</v>
      </c>
      <c r="D31" s="12" t="s">
        <v>40</v>
      </c>
      <c r="E31" s="13">
        <v>7.4005000000000001</v>
      </c>
      <c r="F31" s="11" t="e">
        <f>#REF!-E31</f>
        <v>#REF!</v>
      </c>
    </row>
    <row r="32" spans="1:6">
      <c r="A32" s="6">
        <v>156507</v>
      </c>
      <c r="B32" s="7">
        <v>7898569765262</v>
      </c>
      <c r="C32" s="6" t="s">
        <v>9</v>
      </c>
      <c r="D32" s="6" t="s">
        <v>41</v>
      </c>
      <c r="E32" s="8">
        <v>13.3216</v>
      </c>
      <c r="F32" s="11" t="e">
        <f>#REF!-E32</f>
        <v>#REF!</v>
      </c>
    </row>
    <row r="33" spans="1:6">
      <c r="A33" s="6">
        <v>178992</v>
      </c>
      <c r="B33" s="7">
        <v>7898687735918</v>
      </c>
      <c r="C33" s="6" t="s">
        <v>8</v>
      </c>
      <c r="D33" s="6" t="s">
        <v>42</v>
      </c>
      <c r="E33" s="8">
        <v>20.571200000000001</v>
      </c>
      <c r="F33" s="11" t="e">
        <f>#REF!-E33</f>
        <v>#REF!</v>
      </c>
    </row>
    <row r="34" spans="1:6">
      <c r="A34" s="6">
        <v>178991</v>
      </c>
      <c r="B34" s="7">
        <v>7898687735901</v>
      </c>
      <c r="C34" s="6" t="s">
        <v>8</v>
      </c>
      <c r="D34" s="6" t="s">
        <v>43</v>
      </c>
      <c r="E34" s="8">
        <v>8.9147999999999996</v>
      </c>
      <c r="F34" s="11" t="e">
        <f>#REF!-E34</f>
        <v>#REF!</v>
      </c>
    </row>
    <row r="35" spans="1:6">
      <c r="A35" s="6">
        <v>176025</v>
      </c>
      <c r="B35" s="7">
        <v>7898590870331</v>
      </c>
      <c r="C35" s="6" t="s">
        <v>8</v>
      </c>
      <c r="D35" s="6" t="s">
        <v>44</v>
      </c>
      <c r="E35" s="8">
        <v>29.9725</v>
      </c>
      <c r="F35" s="11" t="e">
        <f>#REF!-E35</f>
        <v>#REF!</v>
      </c>
    </row>
    <row r="36" spans="1:6">
      <c r="A36" s="6">
        <v>129984</v>
      </c>
      <c r="B36" s="7">
        <v>7898569760298</v>
      </c>
      <c r="C36" s="6" t="s">
        <v>8</v>
      </c>
      <c r="D36" s="6" t="s">
        <v>45</v>
      </c>
      <c r="E36" s="8">
        <v>9.0724999999999998</v>
      </c>
      <c r="F36" s="11" t="e">
        <f>#REF!-E36</f>
        <v>#REF!</v>
      </c>
    </row>
    <row r="37" spans="1:6">
      <c r="A37" s="6">
        <v>129976</v>
      </c>
      <c r="B37" s="7">
        <v>7898569760267</v>
      </c>
      <c r="C37" s="6" t="s">
        <v>8</v>
      </c>
      <c r="D37" s="6" t="s">
        <v>46</v>
      </c>
      <c r="E37" s="8">
        <v>7.9452054794520546</v>
      </c>
      <c r="F37" s="11" t="e">
        <f>#REF!-E37</f>
        <v>#REF!</v>
      </c>
    </row>
    <row r="38" spans="1:6">
      <c r="A38" s="6">
        <v>129950</v>
      </c>
      <c r="B38" s="7">
        <v>7898945030212</v>
      </c>
      <c r="C38" s="6" t="s">
        <v>8</v>
      </c>
      <c r="D38" s="6" t="s">
        <v>47</v>
      </c>
      <c r="E38" s="8">
        <v>28.8325</v>
      </c>
      <c r="F38" s="11" t="e">
        <f>#REF!-E38</f>
        <v>#REF!</v>
      </c>
    </row>
    <row r="39" spans="1:6">
      <c r="A39" s="6">
        <v>181139</v>
      </c>
      <c r="B39" s="7">
        <v>7898687736472</v>
      </c>
      <c r="C39" s="6" t="s">
        <v>8</v>
      </c>
      <c r="D39" s="6" t="s">
        <v>48</v>
      </c>
      <c r="E39" s="8">
        <v>67.31506849315069</v>
      </c>
      <c r="F39" s="11" t="e">
        <f>#REF!-E39</f>
        <v>#REF!</v>
      </c>
    </row>
    <row r="40" spans="1:6">
      <c r="A40" s="6">
        <v>156469</v>
      </c>
      <c r="B40" s="7">
        <v>7898569764517</v>
      </c>
      <c r="C40" s="6" t="s">
        <v>8</v>
      </c>
      <c r="D40" s="6" t="s">
        <v>49</v>
      </c>
      <c r="E40" s="8">
        <v>11.693200000000001</v>
      </c>
      <c r="F40" s="11" t="e">
        <f>#REF!-E40</f>
        <v>#REF!</v>
      </c>
    </row>
    <row r="41" spans="1:6">
      <c r="A41" s="6">
        <v>178093</v>
      </c>
      <c r="B41" s="7">
        <v>7898687730487</v>
      </c>
      <c r="C41" s="6" t="s">
        <v>8</v>
      </c>
      <c r="D41" s="6" t="s">
        <v>50</v>
      </c>
      <c r="E41" s="8">
        <v>15.814800000000002</v>
      </c>
      <c r="F41" s="11" t="e">
        <f>#REF!-E41</f>
        <v>#REF!</v>
      </c>
    </row>
    <row r="42" spans="1:6">
      <c r="A42" s="6">
        <v>178092</v>
      </c>
      <c r="B42" s="7">
        <v>7898687730470</v>
      </c>
      <c r="C42" s="6" t="s">
        <v>8</v>
      </c>
      <c r="D42" s="6" t="s">
        <v>51</v>
      </c>
      <c r="E42" s="8">
        <v>6.7344000000000008</v>
      </c>
      <c r="F42" s="11" t="e">
        <f>#REF!-E42</f>
        <v>#REF!</v>
      </c>
    </row>
    <row r="43" spans="1:6">
      <c r="A43" s="6">
        <v>171314</v>
      </c>
      <c r="B43" s="7">
        <v>7898569763015</v>
      </c>
      <c r="C43" s="6" t="s">
        <v>8</v>
      </c>
      <c r="D43" s="12" t="s">
        <v>52</v>
      </c>
      <c r="E43" s="13">
        <v>14.747600000000002</v>
      </c>
      <c r="F43" s="11" t="e">
        <f>#REF!-E43</f>
        <v>#REF!</v>
      </c>
    </row>
    <row r="44" spans="1:6">
      <c r="A44" s="6">
        <v>171318</v>
      </c>
      <c r="B44" s="7">
        <v>7898569763077</v>
      </c>
      <c r="C44" s="6" t="s">
        <v>8</v>
      </c>
      <c r="D44" s="12" t="s">
        <v>53</v>
      </c>
      <c r="E44" s="13">
        <v>18.783974879999999</v>
      </c>
      <c r="F44" s="11" t="e">
        <f>#REF!-E44</f>
        <v>#REF!</v>
      </c>
    </row>
    <row r="45" spans="1:6">
      <c r="A45" s="6">
        <v>175943</v>
      </c>
      <c r="B45" s="7">
        <v>7898687731552</v>
      </c>
      <c r="C45" s="6" t="s">
        <v>8</v>
      </c>
      <c r="D45" s="6" t="s">
        <v>54</v>
      </c>
      <c r="E45" s="8">
        <v>6.2988505747126444</v>
      </c>
      <c r="F45" s="11" t="e">
        <f>#REF!-E45</f>
        <v>#REF!</v>
      </c>
    </row>
    <row r="46" spans="1:6">
      <c r="A46" s="6">
        <v>175945</v>
      </c>
      <c r="B46" s="7">
        <v>7898687731569</v>
      </c>
      <c r="C46" s="6" t="s">
        <v>8</v>
      </c>
      <c r="D46" s="6" t="s">
        <v>55</v>
      </c>
      <c r="E46" s="8">
        <v>18.468</v>
      </c>
      <c r="F46" s="11" t="e">
        <f>#REF!-E46</f>
        <v>#REF!</v>
      </c>
    </row>
    <row r="47" spans="1:6">
      <c r="A47" s="6">
        <v>175944</v>
      </c>
      <c r="B47" s="7">
        <v>7898687731736</v>
      </c>
      <c r="C47" s="6" t="s">
        <v>8</v>
      </c>
      <c r="D47" s="6" t="s">
        <v>56</v>
      </c>
      <c r="E47" s="8">
        <v>10.773200000000001</v>
      </c>
      <c r="F47" s="11" t="e">
        <f>#REF!-E47</f>
        <v>#REF!</v>
      </c>
    </row>
    <row r="48" spans="1:6">
      <c r="A48" s="6">
        <v>175942</v>
      </c>
      <c r="B48" s="7">
        <v>7898687731743</v>
      </c>
      <c r="C48" s="6" t="s">
        <v>8</v>
      </c>
      <c r="D48" s="6" t="s">
        <v>57</v>
      </c>
      <c r="E48" s="8">
        <v>39.9285</v>
      </c>
      <c r="F48" s="11" t="e">
        <f>#REF!-E48</f>
        <v>#REF!</v>
      </c>
    </row>
    <row r="49" spans="1:6">
      <c r="A49" s="6">
        <v>170123</v>
      </c>
      <c r="B49" s="7">
        <v>7898569765439</v>
      </c>
      <c r="C49" s="6" t="s">
        <v>8</v>
      </c>
      <c r="D49" s="6" t="s">
        <v>58</v>
      </c>
      <c r="E49" s="8">
        <v>5.2060000000000004</v>
      </c>
      <c r="F49" s="11" t="e">
        <f>#REF!-E49</f>
        <v>#REF!</v>
      </c>
    </row>
    <row r="50" spans="1:6">
      <c r="A50" s="6">
        <v>170124</v>
      </c>
      <c r="B50" s="7">
        <v>7898569765514</v>
      </c>
      <c r="C50" s="6" t="s">
        <v>8</v>
      </c>
      <c r="D50" s="6" t="s">
        <v>59</v>
      </c>
      <c r="E50" s="8">
        <v>9.3290000000000006</v>
      </c>
      <c r="F50" s="11" t="e">
        <f>#REF!-E50</f>
        <v>#REF!</v>
      </c>
    </row>
    <row r="51" spans="1:6">
      <c r="A51" s="6">
        <v>170125</v>
      </c>
      <c r="B51" s="7">
        <v>7898569765521</v>
      </c>
      <c r="C51" s="6" t="s">
        <v>8</v>
      </c>
      <c r="D51" s="6" t="s">
        <v>60</v>
      </c>
      <c r="E51" s="8">
        <v>14.9245</v>
      </c>
      <c r="F51" s="11" t="e">
        <f>#REF!-E51</f>
        <v>#REF!</v>
      </c>
    </row>
    <row r="52" spans="1:6">
      <c r="A52" s="6">
        <v>170121</v>
      </c>
      <c r="B52" s="7">
        <v>7898569765347</v>
      </c>
      <c r="C52" s="6" t="s">
        <v>8</v>
      </c>
      <c r="D52" s="6" t="s">
        <v>61</v>
      </c>
      <c r="E52" s="8">
        <v>3.2109999999999999</v>
      </c>
      <c r="F52" s="11" t="e">
        <f>#REF!-E52</f>
        <v>#REF!</v>
      </c>
    </row>
    <row r="53" spans="1:6">
      <c r="A53" s="6">
        <v>170122</v>
      </c>
      <c r="B53" s="7">
        <v>7898569765361</v>
      </c>
      <c r="C53" s="6" t="s">
        <v>8</v>
      </c>
      <c r="D53" s="6" t="s">
        <v>62</v>
      </c>
      <c r="E53" s="8">
        <v>5.2739726027397262</v>
      </c>
      <c r="F53" s="11" t="e">
        <f>#REF!-E53</f>
        <v>#REF!</v>
      </c>
    </row>
    <row r="54" spans="1:6">
      <c r="A54" s="6">
        <v>171797</v>
      </c>
      <c r="B54" s="7">
        <v>7898569763602</v>
      </c>
      <c r="C54" s="6" t="s">
        <v>8</v>
      </c>
      <c r="D54" s="12" t="s">
        <v>63</v>
      </c>
      <c r="E54" s="13">
        <v>9.2814999999999994</v>
      </c>
      <c r="F54" s="11" t="e">
        <f>#REF!-E54</f>
        <v>#REF!</v>
      </c>
    </row>
    <row r="55" spans="1:6">
      <c r="A55" s="6">
        <v>171799</v>
      </c>
      <c r="B55" s="7">
        <v>7898569763534</v>
      </c>
      <c r="C55" s="6" t="s">
        <v>8</v>
      </c>
      <c r="D55" s="12" t="s">
        <v>64</v>
      </c>
      <c r="E55" s="13">
        <v>5.9184999999999999</v>
      </c>
      <c r="F55" s="11" t="e">
        <f>#REF!-E55</f>
        <v>#REF!</v>
      </c>
    </row>
    <row r="56" spans="1:6">
      <c r="A56" s="6">
        <v>178094</v>
      </c>
      <c r="B56" s="7">
        <v>7898687733624</v>
      </c>
      <c r="C56" s="6" t="s">
        <v>8</v>
      </c>
      <c r="D56" s="6" t="s">
        <v>65</v>
      </c>
      <c r="E56" s="8">
        <v>25.972999999999999</v>
      </c>
      <c r="F56" s="11" t="e">
        <f>#REF!-E56</f>
        <v>#REF!</v>
      </c>
    </row>
    <row r="57" spans="1:6">
      <c r="A57" s="6">
        <v>178095</v>
      </c>
      <c r="B57" s="7">
        <v>7898687733631</v>
      </c>
      <c r="C57" s="6" t="s">
        <v>8</v>
      </c>
      <c r="D57" s="6" t="s">
        <v>66</v>
      </c>
      <c r="E57" s="8">
        <v>39.369863013698627</v>
      </c>
      <c r="F57" s="11" t="e">
        <f>#REF!-E57</f>
        <v>#REF!</v>
      </c>
    </row>
    <row r="58" spans="1:6">
      <c r="A58" s="6">
        <v>130028</v>
      </c>
      <c r="B58" s="7">
        <v>7898569761431</v>
      </c>
      <c r="C58" s="6" t="s">
        <v>8</v>
      </c>
      <c r="D58" s="6" t="s">
        <v>67</v>
      </c>
      <c r="E58" s="8">
        <v>28.528500000000001</v>
      </c>
      <c r="F58" s="11" t="e">
        <f>#REF!-E58</f>
        <v>#REF!</v>
      </c>
    </row>
    <row r="59" spans="1:6">
      <c r="A59" s="6">
        <v>130036</v>
      </c>
      <c r="B59" s="7">
        <v>7898569761448</v>
      </c>
      <c r="C59" s="6" t="s">
        <v>8</v>
      </c>
      <c r="D59" s="6" t="s">
        <v>68</v>
      </c>
      <c r="E59" s="8">
        <v>51.052999999999997</v>
      </c>
      <c r="F59" s="11" t="e">
        <f>#REF!-E59</f>
        <v>#REF!</v>
      </c>
    </row>
    <row r="60" spans="1:6">
      <c r="A60" s="6">
        <v>162469</v>
      </c>
      <c r="B60" s="7">
        <v>7898569763916</v>
      </c>
      <c r="C60" s="6" t="s">
        <v>8</v>
      </c>
      <c r="D60" s="12" t="s">
        <v>69</v>
      </c>
      <c r="E60" s="13">
        <v>17.195</v>
      </c>
      <c r="F60" s="11" t="e">
        <f>#REF!-E60</f>
        <v>#REF!</v>
      </c>
    </row>
    <row r="61" spans="1:6">
      <c r="A61" s="6">
        <v>162485</v>
      </c>
      <c r="B61" s="7">
        <v>7898569760458</v>
      </c>
      <c r="C61" s="6" t="s">
        <v>8</v>
      </c>
      <c r="D61" s="12" t="s">
        <v>70</v>
      </c>
      <c r="E61" s="13">
        <v>3.8548000000000004</v>
      </c>
      <c r="F61" s="11" t="e">
        <f>#REF!-E61</f>
        <v>#REF!</v>
      </c>
    </row>
    <row r="62" spans="1:6">
      <c r="A62" s="6">
        <v>162493</v>
      </c>
      <c r="B62" s="7">
        <v>7898569760496</v>
      </c>
      <c r="C62" s="6" t="s">
        <v>8</v>
      </c>
      <c r="D62" s="12" t="s">
        <v>71</v>
      </c>
      <c r="E62" s="13">
        <v>6.1654999999999998</v>
      </c>
      <c r="F62" s="11" t="e">
        <f>#REF!-E62</f>
        <v>#REF!</v>
      </c>
    </row>
    <row r="63" spans="1:6">
      <c r="A63" s="6">
        <v>177680</v>
      </c>
      <c r="B63" s="7">
        <v>7898569760533</v>
      </c>
      <c r="C63" s="6" t="s">
        <v>8</v>
      </c>
      <c r="D63" s="12" t="s">
        <v>72</v>
      </c>
      <c r="E63" s="13">
        <v>47.085599999999999</v>
      </c>
      <c r="F63" s="11" t="e">
        <f>#REF!-E63</f>
        <v>#REF!</v>
      </c>
    </row>
    <row r="64" spans="1:6">
      <c r="A64" s="6">
        <v>162477</v>
      </c>
      <c r="B64" s="7">
        <v>7898569760410</v>
      </c>
      <c r="C64" s="6" t="s">
        <v>8</v>
      </c>
      <c r="D64" s="12" t="s">
        <v>73</v>
      </c>
      <c r="E64" s="13">
        <v>4.9036</v>
      </c>
      <c r="F64" s="11" t="e">
        <f>#REF!-E64</f>
        <v>#REF!</v>
      </c>
    </row>
    <row r="65" spans="1:6">
      <c r="A65" s="6">
        <v>173218</v>
      </c>
      <c r="B65" s="7">
        <v>7898569762803</v>
      </c>
      <c r="C65" s="6" t="s">
        <v>8</v>
      </c>
      <c r="D65" s="6" t="s">
        <v>74</v>
      </c>
      <c r="E65" s="8">
        <v>31.178999999999998</v>
      </c>
      <c r="F65" s="11" t="e">
        <f>#REF!-E65</f>
        <v>#REF!</v>
      </c>
    </row>
    <row r="66" spans="1:6">
      <c r="A66" s="6">
        <v>173219</v>
      </c>
      <c r="B66" s="7">
        <v>7898569762858</v>
      </c>
      <c r="C66" s="6" t="s">
        <v>8</v>
      </c>
      <c r="D66" s="6" t="s">
        <v>75</v>
      </c>
      <c r="E66" s="8">
        <v>38.561643835616437</v>
      </c>
      <c r="F66" s="11" t="e">
        <f>#REF!-E66</f>
        <v>#REF!</v>
      </c>
    </row>
    <row r="67" spans="1:6">
      <c r="A67" s="6">
        <v>176103</v>
      </c>
      <c r="B67" s="7">
        <v>7898687732702</v>
      </c>
      <c r="C67" s="6" t="s">
        <v>8</v>
      </c>
      <c r="D67" s="6" t="s">
        <v>76</v>
      </c>
      <c r="E67" s="8">
        <v>21.1755</v>
      </c>
      <c r="F67" s="11" t="e">
        <f>#REF!-E67</f>
        <v>#REF!</v>
      </c>
    </row>
    <row r="68" spans="1:6">
      <c r="A68" s="6">
        <v>176104</v>
      </c>
      <c r="B68" s="7">
        <v>7898687732627</v>
      </c>
      <c r="C68" s="6" t="s">
        <v>8</v>
      </c>
      <c r="D68" s="12" t="s">
        <v>77</v>
      </c>
      <c r="E68" s="13">
        <v>15.978999999999999</v>
      </c>
      <c r="F68" s="11" t="e">
        <f>#REF!-E68</f>
        <v>#REF!</v>
      </c>
    </row>
    <row r="69" spans="1:6">
      <c r="A69" s="6">
        <v>173221</v>
      </c>
      <c r="B69" s="7">
        <v>7898945030854</v>
      </c>
      <c r="C69" s="6" t="s">
        <v>8</v>
      </c>
      <c r="D69" s="12" t="s">
        <v>78</v>
      </c>
      <c r="E69" s="13">
        <v>13.879499999999998</v>
      </c>
      <c r="F69" s="11" t="e">
        <f>#REF!-E69</f>
        <v>#REF!</v>
      </c>
    </row>
    <row r="70" spans="1:6">
      <c r="A70" s="6">
        <v>173220</v>
      </c>
      <c r="B70" s="7">
        <v>7898945030823</v>
      </c>
      <c r="C70" s="6" t="s">
        <v>8</v>
      </c>
      <c r="D70" s="12" t="s">
        <v>79</v>
      </c>
      <c r="E70" s="13">
        <v>9.5474999999999994</v>
      </c>
      <c r="F70" s="11" t="e">
        <f>#REF!-E70</f>
        <v>#REF!</v>
      </c>
    </row>
    <row r="71" spans="1:6">
      <c r="A71" s="6">
        <v>178157</v>
      </c>
      <c r="B71" s="7">
        <v>7898687732276</v>
      </c>
      <c r="C71" s="6" t="s">
        <v>8</v>
      </c>
      <c r="D71" s="6" t="s">
        <v>80</v>
      </c>
      <c r="E71" s="8">
        <v>39.123287671232873</v>
      </c>
      <c r="F71" s="11" t="e">
        <f>#REF!-E71</f>
        <v>#REF!</v>
      </c>
    </row>
    <row r="72" spans="1:6">
      <c r="A72" s="6">
        <v>178158</v>
      </c>
      <c r="B72" s="7">
        <v>7898687732283</v>
      </c>
      <c r="C72" s="6" t="s">
        <v>8</v>
      </c>
      <c r="D72" s="6" t="s">
        <v>81</v>
      </c>
      <c r="E72" s="8">
        <v>30.152999999999999</v>
      </c>
      <c r="F72" s="11" t="e">
        <f>#REF!-E72</f>
        <v>#REF!</v>
      </c>
    </row>
    <row r="73" spans="1:6">
      <c r="A73" s="6">
        <v>179053</v>
      </c>
      <c r="B73" s="7">
        <v>7898687735031</v>
      </c>
      <c r="C73" s="6" t="s">
        <v>8</v>
      </c>
      <c r="D73" s="6" t="s">
        <v>82</v>
      </c>
      <c r="E73" s="8">
        <v>62.13</v>
      </c>
      <c r="F73" s="11" t="e">
        <f>#REF!-E73</f>
        <v>#REF!</v>
      </c>
    </row>
    <row r="74" spans="1:6">
      <c r="A74" s="6">
        <v>179052</v>
      </c>
      <c r="B74" s="7">
        <v>7898687734928</v>
      </c>
      <c r="C74" s="6" t="s">
        <v>8</v>
      </c>
      <c r="D74" s="6" t="s">
        <v>83</v>
      </c>
      <c r="E74" s="8">
        <v>68.124499999999998</v>
      </c>
      <c r="F74" s="11" t="e">
        <f>#REF!-E74</f>
        <v>#REF!</v>
      </c>
    </row>
    <row r="75" spans="1:6">
      <c r="A75" s="6">
        <v>178285</v>
      </c>
      <c r="B75" s="7">
        <v>7898569765101</v>
      </c>
      <c r="C75" s="6" t="s">
        <v>8</v>
      </c>
      <c r="D75" s="6" t="s">
        <v>84</v>
      </c>
      <c r="E75" s="8">
        <v>9.1264000000000003</v>
      </c>
      <c r="F75" s="11" t="e">
        <f>#REF!-E75</f>
        <v>#REF!</v>
      </c>
    </row>
    <row r="76" spans="1:6">
      <c r="A76" s="6">
        <v>178286</v>
      </c>
      <c r="B76" s="7">
        <v>7898569765125</v>
      </c>
      <c r="C76" s="6" t="s">
        <v>8</v>
      </c>
      <c r="D76" s="6" t="s">
        <v>85</v>
      </c>
      <c r="E76" s="8">
        <v>14.195600000000001</v>
      </c>
      <c r="F76" s="11" t="e">
        <f>#REF!-E76</f>
        <v>#REF!</v>
      </c>
    </row>
    <row r="77" spans="1:6">
      <c r="A77" s="6">
        <v>158402</v>
      </c>
      <c r="B77" s="7">
        <v>7898569765149</v>
      </c>
      <c r="C77" s="6" t="s">
        <v>8</v>
      </c>
      <c r="D77" s="6" t="s">
        <v>86</v>
      </c>
      <c r="E77" s="8">
        <v>22.077999999999996</v>
      </c>
      <c r="F77" s="11" t="e">
        <f>#REF!-E77</f>
        <v>#REF!</v>
      </c>
    </row>
    <row r="78" spans="1:6">
      <c r="A78" s="6">
        <v>178656</v>
      </c>
      <c r="B78" s="7">
        <v>7898687734089</v>
      </c>
      <c r="C78" s="6" t="s">
        <v>8</v>
      </c>
      <c r="D78" s="6" t="s">
        <v>87</v>
      </c>
      <c r="E78" s="8">
        <v>13.514799999999999</v>
      </c>
      <c r="F78" s="11" t="e">
        <f>#REF!-E78</f>
        <v>#REF!</v>
      </c>
    </row>
    <row r="79" spans="1:6">
      <c r="A79" s="6">
        <v>178657</v>
      </c>
      <c r="B79" s="7">
        <v>7898687734096</v>
      </c>
      <c r="C79" s="6" t="s">
        <v>8</v>
      </c>
      <c r="D79" s="6" t="s">
        <v>88</v>
      </c>
      <c r="E79" s="8">
        <v>23.847703271724136</v>
      </c>
      <c r="F79" s="11" t="e">
        <f>#REF!-E79</f>
        <v>#REF!</v>
      </c>
    </row>
    <row r="80" spans="1:6">
      <c r="A80" s="6">
        <v>170589</v>
      </c>
      <c r="B80" s="7">
        <v>7898687730593</v>
      </c>
      <c r="C80" s="6" t="s">
        <v>8</v>
      </c>
      <c r="D80" s="6" t="s">
        <v>89</v>
      </c>
      <c r="E80" s="8">
        <v>12.541755238384452</v>
      </c>
      <c r="F80" s="11" t="e">
        <f>#REF!-E80</f>
        <v>#REF!</v>
      </c>
    </row>
    <row r="81" spans="1:6">
      <c r="A81" s="6">
        <v>158399</v>
      </c>
      <c r="B81" s="7">
        <v>7898569765019</v>
      </c>
      <c r="C81" s="6" t="s">
        <v>8</v>
      </c>
      <c r="D81" s="6" t="s">
        <v>90</v>
      </c>
      <c r="E81" s="8">
        <v>14.06</v>
      </c>
      <c r="F81" s="11" t="e">
        <f>#REF!-E81</f>
        <v>#REF!</v>
      </c>
    </row>
    <row r="82" spans="1:6">
      <c r="A82" s="6">
        <v>158372</v>
      </c>
      <c r="B82" s="7">
        <v>7898569765170</v>
      </c>
      <c r="C82" s="6" t="s">
        <v>8</v>
      </c>
      <c r="D82" s="6" t="s">
        <v>91</v>
      </c>
      <c r="E82" s="8">
        <v>14.810499999999999</v>
      </c>
      <c r="F82" s="11" t="e">
        <f>#REF!-E82</f>
        <v>#REF!</v>
      </c>
    </row>
    <row r="83" spans="1:6">
      <c r="A83" s="6">
        <v>173085</v>
      </c>
      <c r="B83" s="7">
        <v>7898569765194</v>
      </c>
      <c r="C83" s="6" t="s">
        <v>8</v>
      </c>
      <c r="D83" s="12" t="s">
        <v>92</v>
      </c>
      <c r="E83" s="13">
        <v>22.595199999999998</v>
      </c>
      <c r="F83" s="11" t="e">
        <f>#REF!-E83</f>
        <v>#REF!</v>
      </c>
    </row>
    <row r="84" spans="1:6">
      <c r="A84" s="6">
        <v>158348</v>
      </c>
      <c r="B84" s="7">
        <v>7898569765828</v>
      </c>
      <c r="C84" s="6" t="s">
        <v>8</v>
      </c>
      <c r="D84" s="12" t="s">
        <v>93</v>
      </c>
      <c r="E84" s="13">
        <v>26.884999999999998</v>
      </c>
      <c r="F84" s="11" t="e">
        <f>#REF!-E84</f>
        <v>#REF!</v>
      </c>
    </row>
    <row r="85" spans="1:6">
      <c r="A85" s="6">
        <v>162442</v>
      </c>
      <c r="B85" s="7">
        <v>7898569766603</v>
      </c>
      <c r="C85" s="6" t="s">
        <v>8</v>
      </c>
      <c r="D85" s="6" t="s">
        <v>94</v>
      </c>
      <c r="E85" s="8">
        <v>5.1151999999999997</v>
      </c>
      <c r="F85" s="11" t="e">
        <f>#REF!-E85</f>
        <v>#REF!</v>
      </c>
    </row>
    <row r="86" spans="1:6">
      <c r="A86" s="6">
        <v>162434</v>
      </c>
      <c r="B86" s="7">
        <v>7898569766610</v>
      </c>
      <c r="C86" s="6" t="s">
        <v>8</v>
      </c>
      <c r="D86" s="6" t="s">
        <v>95</v>
      </c>
      <c r="E86" s="8">
        <v>7.1760000000000002</v>
      </c>
      <c r="F86" s="11" t="e">
        <f>#REF!-E86</f>
        <v>#REF!</v>
      </c>
    </row>
    <row r="87" spans="1:6">
      <c r="A87" s="6">
        <v>158330</v>
      </c>
      <c r="B87" s="7">
        <v>7898569765071</v>
      </c>
      <c r="C87" s="6" t="s">
        <v>8</v>
      </c>
      <c r="D87" s="6" t="s">
        <v>96</v>
      </c>
      <c r="E87" s="8">
        <v>10.602</v>
      </c>
      <c r="F87" s="11" t="e">
        <f>#REF!-E87</f>
        <v>#REF!</v>
      </c>
    </row>
    <row r="88" spans="1:6">
      <c r="A88" s="6">
        <v>179057</v>
      </c>
      <c r="B88" s="7">
        <v>7898687734447</v>
      </c>
      <c r="C88" s="6" t="s">
        <v>8</v>
      </c>
      <c r="D88" s="6" t="s">
        <v>97</v>
      </c>
      <c r="E88" s="8">
        <v>70.432999999999993</v>
      </c>
      <c r="F88" s="11" t="e">
        <f>#REF!-E88</f>
        <v>#REF!</v>
      </c>
    </row>
    <row r="89" spans="1:6">
      <c r="A89" s="6">
        <v>179058</v>
      </c>
      <c r="B89" s="7">
        <v>7898687734454</v>
      </c>
      <c r="C89" s="6" t="s">
        <v>8</v>
      </c>
      <c r="D89" s="6" t="s">
        <v>98</v>
      </c>
      <c r="E89" s="8">
        <v>135.84931506849315</v>
      </c>
      <c r="F89" s="11" t="e">
        <f>#REF!-E89</f>
        <v>#REF!</v>
      </c>
    </row>
    <row r="90" spans="1:6">
      <c r="A90" s="6">
        <v>179059</v>
      </c>
      <c r="B90" s="7">
        <v>7898687734485</v>
      </c>
      <c r="C90" s="6" t="s">
        <v>8</v>
      </c>
      <c r="D90" s="6" t="s">
        <v>99</v>
      </c>
      <c r="E90" s="8">
        <v>99.208500000000001</v>
      </c>
      <c r="F90" s="11" t="e">
        <f>#REF!-E90</f>
        <v>#REF!</v>
      </c>
    </row>
    <row r="91" spans="1:6">
      <c r="A91" s="6">
        <v>179060</v>
      </c>
      <c r="B91" s="7">
        <v>7898687734492</v>
      </c>
      <c r="C91" s="6" t="s">
        <v>8</v>
      </c>
      <c r="D91" s="6" t="s">
        <v>100</v>
      </c>
      <c r="E91" s="8">
        <v>255.17808219178082</v>
      </c>
      <c r="F91" s="11" t="e">
        <f>#REF!-E91</f>
        <v>#REF!</v>
      </c>
    </row>
    <row r="92" spans="1:6">
      <c r="A92" s="6">
        <v>179061</v>
      </c>
      <c r="B92" s="7">
        <v>7898687734522</v>
      </c>
      <c r="C92" s="6" t="s">
        <v>8</v>
      </c>
      <c r="D92" s="6" t="s">
        <v>101</v>
      </c>
      <c r="E92" s="8">
        <v>170.202</v>
      </c>
      <c r="F92" s="11" t="e">
        <f>#REF!-E92</f>
        <v>#REF!</v>
      </c>
    </row>
    <row r="93" spans="1:6">
      <c r="A93" s="6">
        <v>179062</v>
      </c>
      <c r="B93" s="7">
        <v>7898687734409</v>
      </c>
      <c r="C93" s="6" t="s">
        <v>8</v>
      </c>
      <c r="D93" s="6" t="s">
        <v>102</v>
      </c>
      <c r="E93" s="8">
        <v>41.153999999999996</v>
      </c>
      <c r="F93" s="11" t="e">
        <f>#REF!-E93</f>
        <v>#REF!</v>
      </c>
    </row>
    <row r="94" spans="1:6">
      <c r="A94" s="6">
        <v>178283</v>
      </c>
      <c r="B94" s="7">
        <v>7898687732863</v>
      </c>
      <c r="C94" s="6" t="s">
        <v>8</v>
      </c>
      <c r="D94" s="12" t="s">
        <v>103</v>
      </c>
      <c r="E94" s="13">
        <v>18.942800000000002</v>
      </c>
      <c r="F94" s="11" t="e">
        <f>#REF!-E94</f>
        <v>#REF!</v>
      </c>
    </row>
    <row r="95" spans="1:6">
      <c r="A95" s="6">
        <v>178284</v>
      </c>
      <c r="B95" s="7">
        <v>7898687732870</v>
      </c>
      <c r="C95" s="6" t="s">
        <v>8</v>
      </c>
      <c r="D95" s="6" t="s">
        <v>104</v>
      </c>
      <c r="E95" s="8">
        <v>47.100999999999999</v>
      </c>
      <c r="F95" s="11" t="e">
        <f>#REF!-E95</f>
        <v>#REF!</v>
      </c>
    </row>
  </sheetData>
  <autoFilter ref="A1:F95" xr:uid="{25850281-077E-4AC2-AD0F-A0F2B40B8EC9}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FB743-C190-4D3E-9B6F-F969C03FB69D}">
  <dimension ref="A1:J91"/>
  <sheetViews>
    <sheetView workbookViewId="0">
      <selection activeCell="K1" sqref="K1"/>
    </sheetView>
  </sheetViews>
  <sheetFormatPr defaultRowHeight="14.5"/>
  <cols>
    <col min="1" max="1" width="6.81640625" bestFit="1" customWidth="1"/>
    <col min="2" max="2" width="13.81640625" bestFit="1" customWidth="1"/>
    <col min="3" max="3" width="14.54296875" bestFit="1" customWidth="1"/>
    <col min="4" max="4" width="41.81640625" bestFit="1" customWidth="1"/>
    <col min="5" max="5" width="10.08984375" bestFit="1" customWidth="1"/>
    <col min="6" max="6" width="10.1796875" bestFit="1" customWidth="1"/>
    <col min="7" max="7" width="10.08984375" bestFit="1" customWidth="1"/>
    <col min="8" max="8" width="10.1796875" bestFit="1" customWidth="1"/>
    <col min="9" max="9" width="9.81640625" bestFit="1" customWidth="1"/>
    <col min="10" max="10" width="11" bestFit="1" customWidth="1"/>
  </cols>
  <sheetData>
    <row r="1" spans="1:10">
      <c r="A1" s="1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3" t="s">
        <v>5</v>
      </c>
      <c r="G1" s="4" t="s">
        <v>6</v>
      </c>
      <c r="H1" s="4" t="s">
        <v>7</v>
      </c>
      <c r="I1" s="5" t="s">
        <v>105</v>
      </c>
      <c r="J1" s="5" t="s">
        <v>106</v>
      </c>
    </row>
    <row r="2" spans="1:10">
      <c r="A2" s="6">
        <v>171213</v>
      </c>
      <c r="B2" s="7">
        <v>7898569762742</v>
      </c>
      <c r="C2" s="6" t="s">
        <v>8</v>
      </c>
      <c r="D2" s="6" t="s">
        <v>11</v>
      </c>
      <c r="E2" s="8">
        <v>30</v>
      </c>
      <c r="F2" s="9">
        <v>0.51434599156118144</v>
      </c>
      <c r="G2" s="8">
        <v>14.569620253164556</v>
      </c>
      <c r="H2" s="8">
        <v>16.745359924050632</v>
      </c>
      <c r="I2" s="10">
        <v>0</v>
      </c>
      <c r="J2" s="6">
        <v>7</v>
      </c>
    </row>
    <row r="3" spans="1:10">
      <c r="A3" s="6">
        <v>171796</v>
      </c>
      <c r="B3" s="7">
        <v>7898687730289</v>
      </c>
      <c r="C3" s="6" t="s">
        <v>8</v>
      </c>
      <c r="D3" s="6" t="s">
        <v>12</v>
      </c>
      <c r="E3" s="8">
        <v>25.32</v>
      </c>
      <c r="F3" s="9">
        <v>0.21171011058451805</v>
      </c>
      <c r="G3" s="8">
        <v>19.959500000000002</v>
      </c>
      <c r="H3" s="8">
        <v>21.717385</v>
      </c>
      <c r="I3" s="10">
        <v>3.92</v>
      </c>
      <c r="J3" s="6">
        <v>0</v>
      </c>
    </row>
    <row r="4" spans="1:10">
      <c r="A4" s="6">
        <v>171798</v>
      </c>
      <c r="B4" s="7">
        <v>7898687730296</v>
      </c>
      <c r="C4" s="6" t="s">
        <v>8</v>
      </c>
      <c r="D4" s="6" t="s">
        <v>13</v>
      </c>
      <c r="E4" s="8">
        <v>50.67</v>
      </c>
      <c r="F4" s="9">
        <v>0.21142687981053876</v>
      </c>
      <c r="G4" s="8">
        <v>39.957000000000001</v>
      </c>
      <c r="H4" s="8">
        <v>43.423810000000003</v>
      </c>
      <c r="I4" s="10">
        <v>7.43</v>
      </c>
      <c r="J4" s="6">
        <v>0</v>
      </c>
    </row>
    <row r="5" spans="1:10">
      <c r="A5" s="6">
        <v>167754</v>
      </c>
      <c r="B5" s="7">
        <v>7898569761738</v>
      </c>
      <c r="C5" s="6" t="s">
        <v>9</v>
      </c>
      <c r="D5" s="6" t="s">
        <v>14</v>
      </c>
      <c r="E5" s="8">
        <v>30.45</v>
      </c>
      <c r="F5" s="9">
        <v>0.74697865353037773</v>
      </c>
      <c r="G5" s="8">
        <v>7.7044999999999995</v>
      </c>
      <c r="H5" s="8">
        <v>8.8550438029999992</v>
      </c>
      <c r="I5" s="10">
        <v>0.27</v>
      </c>
      <c r="J5" s="6">
        <v>7</v>
      </c>
    </row>
    <row r="6" spans="1:10">
      <c r="A6" s="6">
        <v>167746</v>
      </c>
      <c r="B6" s="7">
        <v>7898569761776</v>
      </c>
      <c r="C6" s="6" t="s">
        <v>9</v>
      </c>
      <c r="D6" s="6" t="s">
        <v>15</v>
      </c>
      <c r="E6" s="8">
        <v>52.49</v>
      </c>
      <c r="F6" s="9">
        <v>0.74806629834254146</v>
      </c>
      <c r="G6" s="8">
        <v>13.224</v>
      </c>
      <c r="H6" s="8">
        <v>15.198792816000001</v>
      </c>
      <c r="I6" s="10">
        <v>0.18</v>
      </c>
      <c r="J6" s="6">
        <v>10</v>
      </c>
    </row>
    <row r="7" spans="1:10">
      <c r="A7" s="6">
        <v>167762</v>
      </c>
      <c r="B7" s="7">
        <v>7898569761691</v>
      </c>
      <c r="C7" s="6" t="s">
        <v>9</v>
      </c>
      <c r="D7" s="6" t="s">
        <v>16</v>
      </c>
      <c r="E7" s="8">
        <v>17.829999999999998</v>
      </c>
      <c r="F7" s="9">
        <v>0.64781267526640485</v>
      </c>
      <c r="G7" s="8">
        <v>6.2794999999999996</v>
      </c>
      <c r="H7" s="8">
        <v>7.8316850000000002</v>
      </c>
      <c r="I7" s="10">
        <v>0.19</v>
      </c>
      <c r="J7" s="6">
        <v>0</v>
      </c>
    </row>
    <row r="8" spans="1:10">
      <c r="A8" s="6">
        <v>156493</v>
      </c>
      <c r="B8" s="7">
        <v>7898569764753</v>
      </c>
      <c r="C8" s="6" t="s">
        <v>8</v>
      </c>
      <c r="D8" s="6" t="s">
        <v>17</v>
      </c>
      <c r="E8" s="8">
        <v>88.41</v>
      </c>
      <c r="F8" s="9">
        <v>0.67645628322587936</v>
      </c>
      <c r="G8" s="8">
        <v>28.604499999999998</v>
      </c>
      <c r="H8" s="8">
        <v>35.260934999999996</v>
      </c>
      <c r="I8" s="10">
        <v>14.83</v>
      </c>
      <c r="J8" s="6">
        <v>3</v>
      </c>
    </row>
    <row r="9" spans="1:10">
      <c r="A9" s="6">
        <v>175983</v>
      </c>
      <c r="B9" s="7">
        <v>7898569767556</v>
      </c>
      <c r="C9" s="6" t="s">
        <v>8</v>
      </c>
      <c r="D9" s="6" t="s">
        <v>18</v>
      </c>
      <c r="E9" s="8">
        <v>66.13</v>
      </c>
      <c r="F9" s="9">
        <v>0.72030092242552546</v>
      </c>
      <c r="G9" s="8">
        <v>18.496499999999997</v>
      </c>
      <c r="H9" s="8">
        <v>24.331494999999997</v>
      </c>
      <c r="I9" s="10">
        <v>7.93</v>
      </c>
      <c r="J9" s="6">
        <v>111</v>
      </c>
    </row>
    <row r="10" spans="1:10">
      <c r="A10" s="6">
        <v>178281</v>
      </c>
      <c r="B10" s="7">
        <v>7898569767563</v>
      </c>
      <c r="C10" s="6" t="s">
        <v>8</v>
      </c>
      <c r="D10" s="6" t="s">
        <v>19</v>
      </c>
      <c r="E10" s="8">
        <v>98.47</v>
      </c>
      <c r="F10" s="9">
        <v>0.41496196148904319</v>
      </c>
      <c r="G10" s="8">
        <v>57.608695652173914</v>
      </c>
      <c r="H10" s="8">
        <v>61.032717391304345</v>
      </c>
      <c r="I10" s="10">
        <v>0</v>
      </c>
      <c r="J10" s="6">
        <v>42</v>
      </c>
    </row>
    <row r="11" spans="1:10">
      <c r="A11" s="6">
        <v>134988</v>
      </c>
      <c r="B11" s="7">
        <v>7898569763107</v>
      </c>
      <c r="C11" s="6" t="s">
        <v>8</v>
      </c>
      <c r="D11" s="6" t="s">
        <v>20</v>
      </c>
      <c r="E11" s="8">
        <v>21.06</v>
      </c>
      <c r="F11" s="9">
        <v>0.72799145299145296</v>
      </c>
      <c r="G11" s="8">
        <v>5.7285000000000004</v>
      </c>
      <c r="H11" s="8">
        <v>6.5455903260000001</v>
      </c>
      <c r="I11" s="10">
        <v>4.34</v>
      </c>
      <c r="J11" s="6">
        <v>1</v>
      </c>
    </row>
    <row r="12" spans="1:10">
      <c r="A12" s="6">
        <v>170120</v>
      </c>
      <c r="B12" s="7">
        <v>7898569764401</v>
      </c>
      <c r="C12" s="6" t="s">
        <v>8</v>
      </c>
      <c r="D12" s="6" t="s">
        <v>21</v>
      </c>
      <c r="E12" s="8">
        <v>59.85</v>
      </c>
      <c r="F12" s="9">
        <v>0.75222222222222224</v>
      </c>
      <c r="G12" s="8">
        <v>14.829499999999999</v>
      </c>
      <c r="H12" s="8">
        <v>20.854385000000001</v>
      </c>
      <c r="I12" s="10">
        <v>4.9800000000000004</v>
      </c>
      <c r="J12" s="6">
        <v>0</v>
      </c>
    </row>
    <row r="13" spans="1:10">
      <c r="A13" s="6">
        <v>161268</v>
      </c>
      <c r="B13" s="7">
        <v>7898946435528</v>
      </c>
      <c r="C13" s="6" t="s">
        <v>10</v>
      </c>
      <c r="D13" s="6" t="s">
        <v>23</v>
      </c>
      <c r="E13" s="8">
        <v>146</v>
      </c>
      <c r="F13" s="9">
        <v>0.75644863013698638</v>
      </c>
      <c r="G13" s="8">
        <v>35.558499999999995</v>
      </c>
      <c r="H13" s="8">
        <v>35.558499999999995</v>
      </c>
      <c r="I13" s="10">
        <v>3.6</v>
      </c>
      <c r="J13" s="6">
        <v>0</v>
      </c>
    </row>
    <row r="14" spans="1:10">
      <c r="A14" s="6">
        <v>161276</v>
      </c>
      <c r="B14" s="7">
        <v>7898946435535</v>
      </c>
      <c r="C14" s="6" t="s">
        <v>10</v>
      </c>
      <c r="D14" s="6" t="s">
        <v>24</v>
      </c>
      <c r="E14" s="8">
        <v>243.39</v>
      </c>
      <c r="F14" s="9">
        <v>0.84948632759245357</v>
      </c>
      <c r="G14" s="8">
        <v>36.633522727272727</v>
      </c>
      <c r="H14" s="8">
        <v>36.633522727272727</v>
      </c>
      <c r="I14" s="10">
        <v>0</v>
      </c>
      <c r="J14" s="6">
        <v>0</v>
      </c>
    </row>
    <row r="15" spans="1:10">
      <c r="A15" s="6">
        <v>173082</v>
      </c>
      <c r="B15" s="7">
        <v>7898687731996</v>
      </c>
      <c r="C15" s="6" t="s">
        <v>10</v>
      </c>
      <c r="D15" s="6" t="s">
        <v>28</v>
      </c>
      <c r="E15" s="8">
        <v>54.47</v>
      </c>
      <c r="F15" s="9">
        <v>0.61170243837308269</v>
      </c>
      <c r="G15" s="8">
        <v>21.150568181818183</v>
      </c>
      <c r="H15" s="8">
        <v>21.150568181818183</v>
      </c>
      <c r="I15" s="10">
        <v>0</v>
      </c>
      <c r="J15" s="6">
        <v>42</v>
      </c>
    </row>
    <row r="16" spans="1:10">
      <c r="A16" s="6">
        <v>173112</v>
      </c>
      <c r="B16" s="7">
        <v>7898687732559</v>
      </c>
      <c r="C16" s="6" t="s">
        <v>10</v>
      </c>
      <c r="D16" s="6" t="s">
        <v>29</v>
      </c>
      <c r="E16" s="8">
        <v>36.22</v>
      </c>
      <c r="F16" s="9">
        <v>0.55958849957331447</v>
      </c>
      <c r="G16" s="8">
        <v>15.951704545454547</v>
      </c>
      <c r="H16" s="8">
        <v>15.951704545454547</v>
      </c>
      <c r="I16" s="10">
        <v>0</v>
      </c>
      <c r="J16" s="6">
        <v>17</v>
      </c>
    </row>
    <row r="17" spans="1:10">
      <c r="A17" s="6">
        <v>161381</v>
      </c>
      <c r="B17" s="7">
        <v>7898946434125</v>
      </c>
      <c r="C17" s="6" t="s">
        <v>10</v>
      </c>
      <c r="D17" s="6" t="s">
        <v>30</v>
      </c>
      <c r="E17" s="8">
        <v>140.44</v>
      </c>
      <c r="F17" s="9">
        <v>0.65429267755884102</v>
      </c>
      <c r="G17" s="8">
        <v>48.551136363636367</v>
      </c>
      <c r="H17" s="8">
        <v>48.551136363636367</v>
      </c>
      <c r="I17" s="10">
        <v>0</v>
      </c>
      <c r="J17" s="6">
        <v>0</v>
      </c>
    </row>
    <row r="18" spans="1:10">
      <c r="A18" s="6">
        <v>178989</v>
      </c>
      <c r="B18" s="7">
        <v>7898687737707</v>
      </c>
      <c r="C18" s="6" t="s">
        <v>10</v>
      </c>
      <c r="D18" s="6" t="s">
        <v>31</v>
      </c>
      <c r="E18" s="8">
        <v>16.600000000000001</v>
      </c>
      <c r="F18" s="9">
        <v>0.55332694414019712</v>
      </c>
      <c r="G18" s="8">
        <v>7.4147727272727275</v>
      </c>
      <c r="H18" s="8">
        <v>7.4147727272727275</v>
      </c>
      <c r="I18" s="10">
        <v>0</v>
      </c>
      <c r="J18" s="6">
        <v>38</v>
      </c>
    </row>
    <row r="19" spans="1:10">
      <c r="A19" s="6">
        <v>178990</v>
      </c>
      <c r="B19" s="7">
        <v>7898687737714</v>
      </c>
      <c r="C19" s="6" t="s">
        <v>10</v>
      </c>
      <c r="D19" s="6" t="s">
        <v>32</v>
      </c>
      <c r="E19" s="8">
        <v>41.81</v>
      </c>
      <c r="F19" s="9">
        <v>0.62284620904089927</v>
      </c>
      <c r="G19" s="8">
        <v>15.768800000000001</v>
      </c>
      <c r="H19" s="8">
        <v>15.768800000000001</v>
      </c>
      <c r="I19" s="10">
        <v>0.11</v>
      </c>
      <c r="J19" s="6">
        <v>0</v>
      </c>
    </row>
    <row r="20" spans="1:10">
      <c r="A20" s="6">
        <v>161284</v>
      </c>
      <c r="B20" s="7">
        <v>7898946435573</v>
      </c>
      <c r="C20" s="6" t="s">
        <v>10</v>
      </c>
      <c r="D20" s="6" t="s">
        <v>33</v>
      </c>
      <c r="E20" s="8">
        <v>29.26</v>
      </c>
      <c r="F20" s="9">
        <v>0.64910457963089541</v>
      </c>
      <c r="G20" s="8">
        <v>10.267200000000001</v>
      </c>
      <c r="H20" s="8">
        <v>10.267200000000001</v>
      </c>
      <c r="I20" s="10">
        <v>7.0000000000000007E-2</v>
      </c>
      <c r="J20" s="6">
        <v>91</v>
      </c>
    </row>
    <row r="21" spans="1:10">
      <c r="A21" s="6">
        <v>161497</v>
      </c>
      <c r="B21" s="7">
        <v>7898946434323</v>
      </c>
      <c r="C21" s="6" t="s">
        <v>10</v>
      </c>
      <c r="D21" s="6" t="s">
        <v>34</v>
      </c>
      <c r="E21" s="8">
        <v>70.42</v>
      </c>
      <c r="F21" s="9">
        <v>0.68190048023547023</v>
      </c>
      <c r="G21" s="8">
        <v>22.400568181818183</v>
      </c>
      <c r="H21" s="8">
        <v>22.400568181818183</v>
      </c>
      <c r="I21" s="10">
        <v>0</v>
      </c>
      <c r="J21" s="6">
        <v>0</v>
      </c>
    </row>
    <row r="22" spans="1:10">
      <c r="A22" s="6">
        <v>179206</v>
      </c>
      <c r="B22" s="7">
        <v>7898687733990</v>
      </c>
      <c r="C22" s="6" t="s">
        <v>8</v>
      </c>
      <c r="D22" s="6" t="s">
        <v>35</v>
      </c>
      <c r="E22" s="8">
        <v>25.29</v>
      </c>
      <c r="F22" s="9">
        <v>0.38244365361803079</v>
      </c>
      <c r="G22" s="8">
        <v>15.618</v>
      </c>
      <c r="H22" s="8">
        <v>17.320039999999999</v>
      </c>
      <c r="I22" s="10">
        <v>4.3600000000000003</v>
      </c>
      <c r="J22" s="6">
        <v>6</v>
      </c>
    </row>
    <row r="23" spans="1:10">
      <c r="A23" s="6">
        <v>137090</v>
      </c>
      <c r="B23" s="7">
        <v>7898569762674</v>
      </c>
      <c r="C23" s="6" t="s">
        <v>8</v>
      </c>
      <c r="D23" s="6" t="s">
        <v>36</v>
      </c>
      <c r="E23" s="8">
        <v>67.290000000000006</v>
      </c>
      <c r="F23" s="9">
        <v>0.79105364838757619</v>
      </c>
      <c r="G23" s="8">
        <v>14.06</v>
      </c>
      <c r="H23" s="8">
        <v>19.571400000000001</v>
      </c>
      <c r="I23" s="10">
        <v>5.21</v>
      </c>
      <c r="J23" s="6">
        <v>28</v>
      </c>
    </row>
    <row r="24" spans="1:10">
      <c r="A24" s="6">
        <v>137103</v>
      </c>
      <c r="B24" s="7">
        <v>7898569762681</v>
      </c>
      <c r="C24" s="6" t="s">
        <v>8</v>
      </c>
      <c r="D24" s="6" t="s">
        <v>37</v>
      </c>
      <c r="E24" s="8">
        <v>121.15</v>
      </c>
      <c r="F24" s="9">
        <v>0.77196863392488657</v>
      </c>
      <c r="G24" s="8">
        <v>27.625999999999998</v>
      </c>
      <c r="H24" s="8">
        <v>33.527380000000001</v>
      </c>
      <c r="I24" s="10">
        <v>3.94</v>
      </c>
      <c r="J24" s="6">
        <v>12</v>
      </c>
    </row>
    <row r="25" spans="1:10">
      <c r="A25" s="6">
        <v>170048</v>
      </c>
      <c r="B25" s="7">
        <v>7898569763633</v>
      </c>
      <c r="C25" s="6" t="s">
        <v>8</v>
      </c>
      <c r="D25" s="6" t="s">
        <v>38</v>
      </c>
      <c r="E25" s="8">
        <v>40.82</v>
      </c>
      <c r="F25" s="9">
        <v>0.62740078392944643</v>
      </c>
      <c r="G25" s="8">
        <v>15.2095</v>
      </c>
      <c r="H25" s="8">
        <v>18.444685</v>
      </c>
      <c r="I25" s="10">
        <v>4.82</v>
      </c>
      <c r="J25" s="6">
        <v>1</v>
      </c>
    </row>
    <row r="26" spans="1:10">
      <c r="A26" s="6">
        <v>176402</v>
      </c>
      <c r="B26" s="7">
        <v>7898687730722</v>
      </c>
      <c r="C26" s="6" t="s">
        <v>8</v>
      </c>
      <c r="D26" s="6" t="s">
        <v>39</v>
      </c>
      <c r="E26" s="8">
        <v>17.71</v>
      </c>
      <c r="F26" s="9">
        <v>0.51396979465223835</v>
      </c>
      <c r="G26" s="8">
        <v>8.6075949367088604</v>
      </c>
      <c r="H26" s="8">
        <v>9.8353478481012662</v>
      </c>
      <c r="I26" s="10">
        <v>0</v>
      </c>
      <c r="J26" s="6">
        <v>20</v>
      </c>
    </row>
    <row r="27" spans="1:10">
      <c r="A27" s="6">
        <v>172260</v>
      </c>
      <c r="B27" s="7">
        <v>7898687730500</v>
      </c>
      <c r="C27" s="6" t="s">
        <v>8</v>
      </c>
      <c r="D27" s="6" t="s">
        <v>40</v>
      </c>
      <c r="E27" s="8">
        <v>22.59</v>
      </c>
      <c r="F27" s="9">
        <v>0.69258521469676848</v>
      </c>
      <c r="G27" s="8">
        <v>6.9444999999999997</v>
      </c>
      <c r="H27" s="8">
        <v>9.3220349999999996</v>
      </c>
      <c r="I27" s="10">
        <v>5.51</v>
      </c>
      <c r="J27" s="6">
        <v>37</v>
      </c>
    </row>
    <row r="28" spans="1:10">
      <c r="A28" s="6">
        <v>156507</v>
      </c>
      <c r="B28" s="7">
        <v>7898569765262</v>
      </c>
      <c r="C28" s="6" t="s">
        <v>9</v>
      </c>
      <c r="D28" s="6" t="s">
        <v>41</v>
      </c>
      <c r="E28" s="8">
        <v>32.619999999999997</v>
      </c>
      <c r="F28" s="9">
        <v>0.7261434702636419</v>
      </c>
      <c r="G28" s="8">
        <v>8.9332000000000011</v>
      </c>
      <c r="H28" s="8">
        <v>12.856256000000002</v>
      </c>
      <c r="I28" s="10">
        <v>3.89</v>
      </c>
      <c r="J28" s="6">
        <v>3015</v>
      </c>
    </row>
    <row r="29" spans="1:10">
      <c r="A29" s="6">
        <v>178992</v>
      </c>
      <c r="B29" s="7">
        <v>7898687735918</v>
      </c>
      <c r="C29" s="6" t="s">
        <v>8</v>
      </c>
      <c r="D29" s="6" t="s">
        <v>42</v>
      </c>
      <c r="E29" s="8">
        <v>30.72</v>
      </c>
      <c r="F29" s="9">
        <v>0.37019531249999982</v>
      </c>
      <c r="G29" s="8">
        <v>19.347600000000003</v>
      </c>
      <c r="H29" s="8">
        <v>22.107264273600002</v>
      </c>
      <c r="I29" s="10">
        <v>0.28000000000000003</v>
      </c>
      <c r="J29" s="6">
        <v>0</v>
      </c>
    </row>
    <row r="30" spans="1:10">
      <c r="A30" s="6">
        <v>178991</v>
      </c>
      <c r="B30" s="7">
        <v>7898687735901</v>
      </c>
      <c r="C30" s="6" t="s">
        <v>8</v>
      </c>
      <c r="D30" s="6" t="s">
        <v>43</v>
      </c>
      <c r="E30" s="8">
        <v>12.78</v>
      </c>
      <c r="F30" s="9">
        <v>0.38738654147104845</v>
      </c>
      <c r="G30" s="8">
        <v>7.8292000000000002</v>
      </c>
      <c r="H30" s="8">
        <v>10.008735999999999</v>
      </c>
      <c r="I30" s="10">
        <v>1.34</v>
      </c>
      <c r="J30" s="6">
        <v>20</v>
      </c>
    </row>
    <row r="31" spans="1:10">
      <c r="A31" s="6">
        <v>176025</v>
      </c>
      <c r="B31" s="7">
        <v>7898590870331</v>
      </c>
      <c r="C31" s="6" t="s">
        <v>8</v>
      </c>
      <c r="D31" s="6" t="s">
        <v>44</v>
      </c>
      <c r="E31" s="8">
        <v>87.2</v>
      </c>
      <c r="F31" s="9">
        <v>0.67697821100917444</v>
      </c>
      <c r="G31" s="8">
        <v>28.167499999999997</v>
      </c>
      <c r="H31" s="8">
        <v>35.783924999999996</v>
      </c>
      <c r="I31" s="10">
        <v>8.3699999999999992</v>
      </c>
      <c r="J31" s="6">
        <v>110</v>
      </c>
    </row>
    <row r="32" spans="1:10">
      <c r="A32" s="6">
        <v>129984</v>
      </c>
      <c r="B32" s="7">
        <v>7898569760298</v>
      </c>
      <c r="C32" s="6" t="s">
        <v>8</v>
      </c>
      <c r="D32" s="6" t="s">
        <v>45</v>
      </c>
      <c r="E32" s="8">
        <v>45.56</v>
      </c>
      <c r="F32" s="9">
        <v>0.80316066725197544</v>
      </c>
      <c r="G32" s="8">
        <v>8.968</v>
      </c>
      <c r="H32" s="8">
        <v>13.81504</v>
      </c>
      <c r="I32" s="10">
        <v>2.95</v>
      </c>
      <c r="J32" s="6">
        <v>87</v>
      </c>
    </row>
    <row r="33" spans="1:10">
      <c r="A33" s="6">
        <v>129976</v>
      </c>
      <c r="B33" s="7">
        <v>7898569760267</v>
      </c>
      <c r="C33" s="6" t="s">
        <v>8</v>
      </c>
      <c r="D33" s="6" t="s">
        <v>46</v>
      </c>
      <c r="E33" s="8">
        <v>29.21</v>
      </c>
      <c r="F33" s="9">
        <v>0.74339267374186924</v>
      </c>
      <c r="G33" s="8">
        <v>7.4954999999999989</v>
      </c>
      <c r="H33" s="8">
        <v>10.211164999999999</v>
      </c>
      <c r="I33" s="10">
        <v>1.48</v>
      </c>
      <c r="J33" s="6">
        <v>27</v>
      </c>
    </row>
    <row r="34" spans="1:10">
      <c r="A34" s="6">
        <v>129950</v>
      </c>
      <c r="B34" s="7">
        <v>7898945030212</v>
      </c>
      <c r="C34" s="6" t="s">
        <v>8</v>
      </c>
      <c r="D34" s="6" t="s">
        <v>47</v>
      </c>
      <c r="E34" s="8">
        <v>67.5</v>
      </c>
      <c r="F34" s="9">
        <v>0.57960740740740735</v>
      </c>
      <c r="G34" s="8">
        <v>28.3765</v>
      </c>
      <c r="H34" s="8">
        <v>32.358494999999998</v>
      </c>
      <c r="I34" s="10">
        <v>7.53</v>
      </c>
      <c r="J34" s="6">
        <v>62</v>
      </c>
    </row>
    <row r="35" spans="1:10">
      <c r="A35" s="6">
        <v>181139</v>
      </c>
      <c r="B35" s="7">
        <v>7898687736472</v>
      </c>
      <c r="C35" s="6" t="s">
        <v>8</v>
      </c>
      <c r="D35" s="6" t="s">
        <v>48</v>
      </c>
      <c r="E35" s="8">
        <v>107.97</v>
      </c>
      <c r="F35" s="9">
        <v>0.42389060252320443</v>
      </c>
      <c r="G35" s="8">
        <v>62.202531645569621</v>
      </c>
      <c r="H35" s="8">
        <v>71.074851949367087</v>
      </c>
      <c r="I35" s="10">
        <v>0</v>
      </c>
      <c r="J35" s="6">
        <v>0</v>
      </c>
    </row>
    <row r="36" spans="1:10">
      <c r="A36" s="6">
        <v>156469</v>
      </c>
      <c r="B36" s="7">
        <v>7898569764517</v>
      </c>
      <c r="C36" s="6" t="s">
        <v>8</v>
      </c>
      <c r="D36" s="6" t="s">
        <v>49</v>
      </c>
      <c r="E36" s="8">
        <v>45.92</v>
      </c>
      <c r="F36" s="9">
        <v>0.79804878048780492</v>
      </c>
      <c r="G36" s="8">
        <v>9.2736000000000001</v>
      </c>
      <c r="H36" s="8">
        <v>13.828987999999999</v>
      </c>
      <c r="I36" s="10">
        <v>5.86</v>
      </c>
      <c r="J36" s="6">
        <v>68</v>
      </c>
    </row>
    <row r="37" spans="1:10">
      <c r="A37" s="6">
        <v>178093</v>
      </c>
      <c r="B37" s="7">
        <v>7898687730487</v>
      </c>
      <c r="C37" s="6" t="s">
        <v>8</v>
      </c>
      <c r="D37" s="6" t="s">
        <v>50</v>
      </c>
      <c r="E37" s="8">
        <v>34.119999999999997</v>
      </c>
      <c r="F37" s="9">
        <v>0.50855463241415622</v>
      </c>
      <c r="G37" s="8">
        <v>16.768115942028988</v>
      </c>
      <c r="H37" s="8">
        <v>19.83523623188406</v>
      </c>
      <c r="I37" s="10">
        <v>0</v>
      </c>
      <c r="J37" s="6">
        <v>0</v>
      </c>
    </row>
    <row r="38" spans="1:10">
      <c r="A38" s="6">
        <v>178092</v>
      </c>
      <c r="B38" s="7">
        <v>7898687730470</v>
      </c>
      <c r="C38" s="6" t="s">
        <v>8</v>
      </c>
      <c r="D38" s="6" t="s">
        <v>51</v>
      </c>
      <c r="E38" s="8">
        <v>14.72</v>
      </c>
      <c r="F38" s="9">
        <v>0.50312500000000004</v>
      </c>
      <c r="G38" s="8">
        <v>7.3140000000000001</v>
      </c>
      <c r="H38" s="8">
        <v>8.7022200000000005</v>
      </c>
      <c r="I38" s="10">
        <v>0.1</v>
      </c>
      <c r="J38" s="6">
        <v>76</v>
      </c>
    </row>
    <row r="39" spans="1:10">
      <c r="A39" s="6">
        <v>171314</v>
      </c>
      <c r="B39" s="7">
        <v>7898569763015</v>
      </c>
      <c r="C39" s="6" t="s">
        <v>8</v>
      </c>
      <c r="D39" s="6" t="s">
        <v>52</v>
      </c>
      <c r="E39" s="8">
        <v>33.61</v>
      </c>
      <c r="F39" s="9">
        <v>0.56230883665575715</v>
      </c>
      <c r="G39" s="8">
        <v>14.710800000000001</v>
      </c>
      <c r="H39" s="8">
        <v>17.561564000000001</v>
      </c>
      <c r="I39" s="10">
        <v>3.7</v>
      </c>
      <c r="J39" s="6">
        <v>77</v>
      </c>
    </row>
    <row r="40" spans="1:10">
      <c r="A40" s="6">
        <v>171318</v>
      </c>
      <c r="B40" s="7">
        <v>7898569763077</v>
      </c>
      <c r="C40" s="6" t="s">
        <v>8</v>
      </c>
      <c r="D40" s="6" t="s">
        <v>53</v>
      </c>
      <c r="E40" s="8">
        <v>37.619999999999997</v>
      </c>
      <c r="F40" s="9">
        <v>0.5111430090377459</v>
      </c>
      <c r="G40" s="8">
        <v>18.390799999999999</v>
      </c>
      <c r="H40" s="8">
        <v>21.658064</v>
      </c>
      <c r="I40" s="10">
        <v>5.17</v>
      </c>
      <c r="J40" s="6">
        <v>531</v>
      </c>
    </row>
    <row r="41" spans="1:10">
      <c r="A41" s="6">
        <v>175943</v>
      </c>
      <c r="B41" s="7">
        <v>7898687731552</v>
      </c>
      <c r="C41" s="6" t="s">
        <v>8</v>
      </c>
      <c r="D41" s="6" t="s">
        <v>54</v>
      </c>
      <c r="E41" s="8">
        <v>17.079999999999998</v>
      </c>
      <c r="F41" s="9">
        <v>0.83894613583138167</v>
      </c>
      <c r="G41" s="8">
        <v>2.7508000000000004</v>
      </c>
      <c r="H41" s="8">
        <v>4.8263640000000008</v>
      </c>
      <c r="I41" s="10">
        <v>3.67</v>
      </c>
      <c r="J41" s="6">
        <v>5</v>
      </c>
    </row>
    <row r="42" spans="1:10">
      <c r="A42" s="6">
        <v>175945</v>
      </c>
      <c r="B42" s="7">
        <v>7898687731569</v>
      </c>
      <c r="C42" s="6" t="s">
        <v>8</v>
      </c>
      <c r="D42" s="6" t="s">
        <v>55</v>
      </c>
      <c r="E42" s="8">
        <v>45.68</v>
      </c>
      <c r="F42" s="9">
        <v>0.62004159369527145</v>
      </c>
      <c r="G42" s="8">
        <v>17.3565</v>
      </c>
      <c r="H42" s="8">
        <v>20.835295000000002</v>
      </c>
      <c r="I42" s="10">
        <v>4.7300000000000004</v>
      </c>
      <c r="J42" s="6">
        <v>0</v>
      </c>
    </row>
    <row r="43" spans="1:10">
      <c r="A43" s="6">
        <v>175944</v>
      </c>
      <c r="B43" s="7">
        <v>7898687731736</v>
      </c>
      <c r="C43" s="6" t="s">
        <v>8</v>
      </c>
      <c r="D43" s="6" t="s">
        <v>56</v>
      </c>
      <c r="E43" s="8">
        <v>31.45</v>
      </c>
      <c r="F43" s="9">
        <v>0.66768839427662963</v>
      </c>
      <c r="G43" s="8">
        <v>10.4512</v>
      </c>
      <c r="H43" s="8">
        <v>13.177796000000001</v>
      </c>
      <c r="I43" s="10">
        <v>6.73</v>
      </c>
      <c r="J43" s="6">
        <v>6</v>
      </c>
    </row>
    <row r="44" spans="1:10">
      <c r="A44" s="6">
        <v>175942</v>
      </c>
      <c r="B44" s="7">
        <v>7898687731743</v>
      </c>
      <c r="C44" s="6" t="s">
        <v>8</v>
      </c>
      <c r="D44" s="6" t="s">
        <v>57</v>
      </c>
      <c r="E44" s="8">
        <v>98.74</v>
      </c>
      <c r="F44" s="9">
        <v>0.61996151509013564</v>
      </c>
      <c r="G44" s="8">
        <v>37.524999999999999</v>
      </c>
      <c r="H44" s="8">
        <v>44.813749999999999</v>
      </c>
      <c r="I44" s="10">
        <v>9.8000000000000007</v>
      </c>
      <c r="J44" s="6">
        <v>50</v>
      </c>
    </row>
    <row r="45" spans="1:10">
      <c r="A45" s="6">
        <v>170123</v>
      </c>
      <c r="B45" s="7">
        <v>7898569765439</v>
      </c>
      <c r="C45" s="6" t="s">
        <v>8</v>
      </c>
      <c r="D45" s="6" t="s">
        <v>58</v>
      </c>
      <c r="E45" s="8">
        <v>15.22</v>
      </c>
      <c r="F45" s="9">
        <v>0.67230617608409982</v>
      </c>
      <c r="G45" s="8">
        <v>4.9874999999999998</v>
      </c>
      <c r="H45" s="8">
        <v>6.647125</v>
      </c>
      <c r="I45" s="10">
        <v>1.85</v>
      </c>
      <c r="J45" s="6">
        <v>7</v>
      </c>
    </row>
    <row r="46" spans="1:10">
      <c r="A46" s="6">
        <v>170124</v>
      </c>
      <c r="B46" s="7">
        <v>7898569765514</v>
      </c>
      <c r="C46" s="6" t="s">
        <v>8</v>
      </c>
      <c r="D46" s="6" t="s">
        <v>59</v>
      </c>
      <c r="E46" s="8">
        <v>29.88</v>
      </c>
      <c r="F46" s="9">
        <v>0.75741298527443102</v>
      </c>
      <c r="G46" s="8">
        <v>7.2484999999999999</v>
      </c>
      <c r="H46" s="8">
        <v>10.398855000000001</v>
      </c>
      <c r="I46" s="10">
        <v>2.66</v>
      </c>
      <c r="J46" s="6">
        <v>184</v>
      </c>
    </row>
    <row r="47" spans="1:10">
      <c r="A47" s="6">
        <v>170125</v>
      </c>
      <c r="B47" s="7">
        <v>7898569765521</v>
      </c>
      <c r="C47" s="6" t="s">
        <v>8</v>
      </c>
      <c r="D47" s="6" t="s">
        <v>60</v>
      </c>
      <c r="E47" s="8">
        <v>38.85</v>
      </c>
      <c r="F47" s="9">
        <v>0.66499356499356499</v>
      </c>
      <c r="G47" s="8">
        <v>13.014999999999999</v>
      </c>
      <c r="H47" s="8">
        <v>16.449849999999998</v>
      </c>
      <c r="I47" s="10">
        <v>2.83</v>
      </c>
      <c r="J47" s="6">
        <v>37</v>
      </c>
    </row>
    <row r="48" spans="1:10">
      <c r="A48" s="6">
        <v>170121</v>
      </c>
      <c r="B48" s="7">
        <v>7898569765347</v>
      </c>
      <c r="C48" s="6" t="s">
        <v>8</v>
      </c>
      <c r="D48" s="6" t="s">
        <v>61</v>
      </c>
      <c r="E48" s="8">
        <v>5.77</v>
      </c>
      <c r="F48" s="9">
        <v>0.34471403812824952</v>
      </c>
      <c r="G48" s="8">
        <v>3.7809999999999997</v>
      </c>
      <c r="H48" s="8">
        <v>4.0987299999999998</v>
      </c>
      <c r="I48" s="10">
        <v>0.19</v>
      </c>
      <c r="J48" s="6">
        <v>80</v>
      </c>
    </row>
    <row r="49" spans="1:10">
      <c r="A49" s="6">
        <v>170122</v>
      </c>
      <c r="B49" s="7">
        <v>7898569765361</v>
      </c>
      <c r="C49" s="6" t="s">
        <v>8</v>
      </c>
      <c r="D49" s="6" t="s">
        <v>62</v>
      </c>
      <c r="E49" s="8">
        <v>11.56</v>
      </c>
      <c r="F49" s="9">
        <v>0.50774221453287205</v>
      </c>
      <c r="G49" s="8">
        <v>5.6905000000000001</v>
      </c>
      <c r="H49" s="8">
        <v>6.5438150000000004</v>
      </c>
      <c r="I49" s="10">
        <v>0.22</v>
      </c>
      <c r="J49" s="6">
        <v>33</v>
      </c>
    </row>
    <row r="50" spans="1:10">
      <c r="A50" s="6">
        <v>171797</v>
      </c>
      <c r="B50" s="7">
        <v>7898569763602</v>
      </c>
      <c r="C50" s="6" t="s">
        <v>8</v>
      </c>
      <c r="D50" s="6" t="s">
        <v>63</v>
      </c>
      <c r="E50" s="8">
        <v>97.54</v>
      </c>
      <c r="F50" s="9">
        <v>0.90737646093910196</v>
      </c>
      <c r="G50" s="8">
        <v>9.0344999999999995</v>
      </c>
      <c r="H50" s="8">
        <v>19.186135</v>
      </c>
      <c r="I50" s="10">
        <v>9.11</v>
      </c>
      <c r="J50" s="6">
        <v>6</v>
      </c>
    </row>
    <row r="51" spans="1:10">
      <c r="A51" s="6">
        <v>171799</v>
      </c>
      <c r="B51" s="7">
        <v>7898569763534</v>
      </c>
      <c r="C51" s="6" t="s">
        <v>8</v>
      </c>
      <c r="D51" s="6" t="s">
        <v>64</v>
      </c>
      <c r="E51" s="8">
        <v>69.680000000000007</v>
      </c>
      <c r="F51" s="9">
        <v>0.9121986222732491</v>
      </c>
      <c r="G51" s="8">
        <v>6.1180000000000003</v>
      </c>
      <c r="H51" s="8">
        <v>12.646340000000002</v>
      </c>
      <c r="I51" s="10">
        <v>5.34</v>
      </c>
      <c r="J51" s="6">
        <v>38</v>
      </c>
    </row>
    <row r="52" spans="1:10">
      <c r="A52" s="6">
        <v>178094</v>
      </c>
      <c r="B52" s="7">
        <v>7898687733624</v>
      </c>
      <c r="C52" s="6" t="s">
        <v>8</v>
      </c>
      <c r="D52" s="6" t="s">
        <v>65</v>
      </c>
      <c r="E52" s="8">
        <v>42.09</v>
      </c>
      <c r="F52" s="9">
        <v>0.42015918270373021</v>
      </c>
      <c r="G52" s="8">
        <v>24.4055</v>
      </c>
      <c r="H52" s="8">
        <v>26.702964999999999</v>
      </c>
      <c r="I52" s="10">
        <v>2.6</v>
      </c>
      <c r="J52" s="6">
        <v>0</v>
      </c>
    </row>
    <row r="53" spans="1:10">
      <c r="A53" s="6">
        <v>178095</v>
      </c>
      <c r="B53" s="7">
        <v>7898687733631</v>
      </c>
      <c r="C53" s="6" t="s">
        <v>8</v>
      </c>
      <c r="D53" s="6" t="s">
        <v>66</v>
      </c>
      <c r="E53" s="8">
        <v>63.16</v>
      </c>
      <c r="F53" s="9">
        <v>0.34052922873585367</v>
      </c>
      <c r="G53" s="8">
        <v>41.652173913043477</v>
      </c>
      <c r="H53" s="8">
        <v>43.416404347826088</v>
      </c>
      <c r="I53" s="10">
        <v>0</v>
      </c>
      <c r="J53" s="6">
        <v>0</v>
      </c>
    </row>
    <row r="54" spans="1:10">
      <c r="A54" s="6">
        <v>130028</v>
      </c>
      <c r="B54" s="7">
        <v>7898569761431</v>
      </c>
      <c r="C54" s="6" t="s">
        <v>8</v>
      </c>
      <c r="D54" s="6" t="s">
        <v>67</v>
      </c>
      <c r="E54" s="8">
        <v>64.150000000000006</v>
      </c>
      <c r="F54" s="9">
        <v>0.58194076383476223</v>
      </c>
      <c r="G54" s="8">
        <v>26.8185</v>
      </c>
      <c r="H54" s="8">
        <v>30.778055000000002</v>
      </c>
      <c r="I54" s="10">
        <v>4.78</v>
      </c>
      <c r="J54" s="6">
        <v>57</v>
      </c>
    </row>
    <row r="55" spans="1:10">
      <c r="A55" s="6">
        <v>130036</v>
      </c>
      <c r="B55" s="7">
        <v>7898569761448</v>
      </c>
      <c r="C55" s="6" t="s">
        <v>8</v>
      </c>
      <c r="D55" s="6" t="s">
        <v>68</v>
      </c>
      <c r="E55" s="8">
        <v>110.46</v>
      </c>
      <c r="F55" s="9">
        <v>0.54400688031866729</v>
      </c>
      <c r="G55" s="8">
        <v>50.369</v>
      </c>
      <c r="H55" s="8">
        <v>56.019970000000001</v>
      </c>
      <c r="I55" s="10">
        <v>4.21</v>
      </c>
      <c r="J55" s="6">
        <v>9</v>
      </c>
    </row>
    <row r="56" spans="1:10">
      <c r="A56" s="6">
        <v>162469</v>
      </c>
      <c r="B56" s="7">
        <v>7898569763916</v>
      </c>
      <c r="C56" s="6" t="s">
        <v>8</v>
      </c>
      <c r="D56" s="6" t="s">
        <v>69</v>
      </c>
      <c r="E56" s="8">
        <v>56.75</v>
      </c>
      <c r="F56" s="9">
        <v>0.95530396475770929</v>
      </c>
      <c r="G56" s="8">
        <v>2.5364999999999998</v>
      </c>
      <c r="H56" s="8">
        <v>10.095295</v>
      </c>
      <c r="I56" s="10">
        <v>13</v>
      </c>
      <c r="J56" s="6">
        <v>13</v>
      </c>
    </row>
    <row r="57" spans="1:10">
      <c r="A57" s="6">
        <v>162485</v>
      </c>
      <c r="B57" s="7">
        <v>7898569760458</v>
      </c>
      <c r="C57" s="6" t="s">
        <v>8</v>
      </c>
      <c r="D57" s="6" t="s">
        <v>70</v>
      </c>
      <c r="E57" s="8">
        <v>43.89</v>
      </c>
      <c r="F57" s="9">
        <v>0.88492139439507855</v>
      </c>
      <c r="G57" s="8">
        <v>5.0508000000000006</v>
      </c>
      <c r="H57" s="8">
        <v>8.4557640000000003</v>
      </c>
      <c r="I57" s="10">
        <v>2.04</v>
      </c>
      <c r="J57" s="6">
        <v>59</v>
      </c>
    </row>
    <row r="58" spans="1:10">
      <c r="A58" s="6">
        <v>162493</v>
      </c>
      <c r="B58" s="7">
        <v>7898569760496</v>
      </c>
      <c r="C58" s="6" t="s">
        <v>8</v>
      </c>
      <c r="D58" s="6" t="s">
        <v>71</v>
      </c>
      <c r="E58" s="8">
        <v>63.74</v>
      </c>
      <c r="F58" s="9">
        <v>0.86601035456542208</v>
      </c>
      <c r="G58" s="8">
        <v>8.5404999999999998</v>
      </c>
      <c r="H58" s="8">
        <v>12.657814999999999</v>
      </c>
      <c r="I58" s="10">
        <v>3.68</v>
      </c>
      <c r="J58" s="6">
        <v>802</v>
      </c>
    </row>
    <row r="59" spans="1:10">
      <c r="A59" s="6">
        <v>177680</v>
      </c>
      <c r="B59" s="7">
        <v>7898569760533</v>
      </c>
      <c r="C59" s="6" t="s">
        <v>8</v>
      </c>
      <c r="D59" s="6" t="s">
        <v>72</v>
      </c>
      <c r="E59" s="8">
        <v>116.04</v>
      </c>
      <c r="F59" s="9">
        <v>0.61864874181316787</v>
      </c>
      <c r="G59" s="8">
        <v>44.252000000000002</v>
      </c>
      <c r="H59" s="8">
        <v>53.717260000000003</v>
      </c>
      <c r="I59" s="10">
        <v>13.79</v>
      </c>
      <c r="J59" s="6">
        <v>84</v>
      </c>
    </row>
    <row r="60" spans="1:10">
      <c r="A60" s="6">
        <v>162477</v>
      </c>
      <c r="B60" s="7">
        <v>7898569760410</v>
      </c>
      <c r="C60" s="6" t="s">
        <v>8</v>
      </c>
      <c r="D60" s="6" t="s">
        <v>73</v>
      </c>
      <c r="E60" s="8">
        <v>34.729999999999997</v>
      </c>
      <c r="F60" s="9">
        <v>0.85933774834437082</v>
      </c>
      <c r="G60" s="8">
        <v>4.8852000000000002</v>
      </c>
      <c r="H60" s="8">
        <v>8.0820159999999994</v>
      </c>
      <c r="I60" s="10">
        <v>2.93</v>
      </c>
      <c r="J60" s="6">
        <v>285</v>
      </c>
    </row>
    <row r="61" spans="1:10">
      <c r="A61" s="6">
        <v>173218</v>
      </c>
      <c r="B61" s="7">
        <v>7898569762803</v>
      </c>
      <c r="C61" s="6" t="s">
        <v>8</v>
      </c>
      <c r="D61" s="6" t="s">
        <v>74</v>
      </c>
      <c r="E61" s="8">
        <v>65.63</v>
      </c>
      <c r="F61" s="9">
        <v>0.55358829803443554</v>
      </c>
      <c r="G61" s="8">
        <v>29.297999999999998</v>
      </c>
      <c r="H61" s="8">
        <v>33.191339999999997</v>
      </c>
      <c r="I61" s="10">
        <v>6.78</v>
      </c>
      <c r="J61" s="6">
        <v>9</v>
      </c>
    </row>
    <row r="62" spans="1:10">
      <c r="A62" s="6">
        <v>173219</v>
      </c>
      <c r="B62" s="7">
        <v>7898569762858</v>
      </c>
      <c r="C62" s="6" t="s">
        <v>8</v>
      </c>
      <c r="D62" s="6" t="s">
        <v>75</v>
      </c>
      <c r="E62" s="8">
        <v>77.03</v>
      </c>
      <c r="F62" s="9">
        <v>0.55355056471504605</v>
      </c>
      <c r="G62" s="8">
        <v>34.39</v>
      </c>
      <c r="H62" s="8">
        <v>38.6128</v>
      </c>
      <c r="I62" s="10">
        <v>4.42</v>
      </c>
      <c r="J62" s="6">
        <v>10</v>
      </c>
    </row>
    <row r="63" spans="1:10">
      <c r="A63" s="6">
        <v>176103</v>
      </c>
      <c r="B63" s="7">
        <v>7898687732702</v>
      </c>
      <c r="C63" s="6" t="s">
        <v>8</v>
      </c>
      <c r="D63" s="6" t="s">
        <v>76</v>
      </c>
      <c r="E63" s="8">
        <v>49.88</v>
      </c>
      <c r="F63" s="9">
        <v>0.60099238171611868</v>
      </c>
      <c r="G63" s="8">
        <v>19.9025</v>
      </c>
      <c r="H63" s="8">
        <v>23.443175</v>
      </c>
      <c r="I63" s="10">
        <v>4.1399999999999997</v>
      </c>
      <c r="J63" s="6">
        <v>64</v>
      </c>
    </row>
    <row r="64" spans="1:10">
      <c r="A64" s="6">
        <v>176104</v>
      </c>
      <c r="B64" s="7">
        <v>7898687732627</v>
      </c>
      <c r="C64" s="6" t="s">
        <v>8</v>
      </c>
      <c r="D64" s="6" t="s">
        <v>77</v>
      </c>
      <c r="E64" s="8">
        <v>49.87</v>
      </c>
      <c r="F64" s="9">
        <v>0.62358131140966511</v>
      </c>
      <c r="G64" s="8">
        <v>18.772000000000002</v>
      </c>
      <c r="H64" s="8">
        <v>23.104960000000002</v>
      </c>
      <c r="I64" s="10">
        <v>3.46</v>
      </c>
      <c r="J64" s="6">
        <v>468</v>
      </c>
    </row>
    <row r="65" spans="1:10">
      <c r="A65" s="6">
        <v>173221</v>
      </c>
      <c r="B65" s="7">
        <v>7898945030854</v>
      </c>
      <c r="C65" s="6" t="s">
        <v>8</v>
      </c>
      <c r="D65" s="6" t="s">
        <v>78</v>
      </c>
      <c r="E65" s="8">
        <v>46.47</v>
      </c>
      <c r="F65" s="9">
        <v>0.69519044544867659</v>
      </c>
      <c r="G65" s="8">
        <v>14.1645</v>
      </c>
      <c r="H65" s="8">
        <v>18.784335000000002</v>
      </c>
      <c r="I65" s="10">
        <v>4.7699999999999996</v>
      </c>
      <c r="J65" s="6">
        <v>86</v>
      </c>
    </row>
    <row r="66" spans="1:10">
      <c r="A66" s="6">
        <v>173220</v>
      </c>
      <c r="B66" s="7">
        <v>7898945030823</v>
      </c>
      <c r="C66" s="6" t="s">
        <v>8</v>
      </c>
      <c r="D66" s="6" t="s">
        <v>79</v>
      </c>
      <c r="E66" s="8">
        <v>39.29</v>
      </c>
      <c r="F66" s="9">
        <v>0.75820819546958518</v>
      </c>
      <c r="G66" s="8">
        <v>9.5</v>
      </c>
      <c r="H66" s="8">
        <v>13.5426</v>
      </c>
      <c r="I66" s="10">
        <v>5.44</v>
      </c>
      <c r="J66" s="6">
        <v>31</v>
      </c>
    </row>
    <row r="67" spans="1:10">
      <c r="A67" s="6">
        <v>178157</v>
      </c>
      <c r="B67" s="7">
        <v>7898687732276</v>
      </c>
      <c r="C67" s="6" t="s">
        <v>8</v>
      </c>
      <c r="D67" s="6" t="s">
        <v>80</v>
      </c>
      <c r="E67" s="8">
        <v>53.34</v>
      </c>
      <c r="F67" s="9">
        <v>0.32223661915678281</v>
      </c>
      <c r="G67" s="8">
        <v>36.151898734177209</v>
      </c>
      <c r="H67" s="8">
        <v>41.550606379746831</v>
      </c>
      <c r="I67" s="10">
        <v>0</v>
      </c>
      <c r="J67" s="6">
        <v>0</v>
      </c>
    </row>
    <row r="68" spans="1:10">
      <c r="A68" s="6">
        <v>178158</v>
      </c>
      <c r="B68" s="7">
        <v>7898687732283</v>
      </c>
      <c r="C68" s="6" t="s">
        <v>8</v>
      </c>
      <c r="D68" s="6" t="s">
        <v>81</v>
      </c>
      <c r="E68" s="8">
        <v>104.74</v>
      </c>
      <c r="F68" s="9">
        <v>0.72943956463624215</v>
      </c>
      <c r="G68" s="8">
        <v>28.338499999999996</v>
      </c>
      <c r="H68" s="8">
        <v>32.570401558999997</v>
      </c>
      <c r="I68" s="10">
        <v>38.82</v>
      </c>
      <c r="J68" s="6">
        <v>0</v>
      </c>
    </row>
    <row r="69" spans="1:10">
      <c r="A69" s="6">
        <v>179053</v>
      </c>
      <c r="B69" s="7">
        <v>7898687735031</v>
      </c>
      <c r="C69" s="6" t="s">
        <v>8</v>
      </c>
      <c r="D69" s="6" t="s">
        <v>82</v>
      </c>
      <c r="E69" s="8">
        <v>103.68</v>
      </c>
      <c r="F69" s="9">
        <v>0.38251832561728405</v>
      </c>
      <c r="G69" s="8">
        <v>64.020499999999998</v>
      </c>
      <c r="H69" s="8">
        <v>73.580937347000003</v>
      </c>
      <c r="I69" s="10">
        <v>3.64</v>
      </c>
      <c r="J69" s="6">
        <v>9</v>
      </c>
    </row>
    <row r="70" spans="1:10">
      <c r="A70" s="6">
        <v>179052</v>
      </c>
      <c r="B70" s="7">
        <v>7898687734928</v>
      </c>
      <c r="C70" s="6" t="s">
        <v>8</v>
      </c>
      <c r="D70" s="6" t="s">
        <v>83</v>
      </c>
      <c r="E70" s="8">
        <v>103.68</v>
      </c>
      <c r="F70" s="9">
        <v>0.38251832561728405</v>
      </c>
      <c r="G70" s="8">
        <v>64.020499999999998</v>
      </c>
      <c r="H70" s="8">
        <v>73.580937347000003</v>
      </c>
      <c r="I70" s="10">
        <v>2.2599999999999998</v>
      </c>
      <c r="J70" s="6">
        <v>26</v>
      </c>
    </row>
    <row r="71" spans="1:10">
      <c r="A71" s="6">
        <v>178285</v>
      </c>
      <c r="B71" s="7">
        <v>7898569765101</v>
      </c>
      <c r="C71" s="6" t="s">
        <v>8</v>
      </c>
      <c r="D71" s="6" t="s">
        <v>84</v>
      </c>
      <c r="E71" s="8">
        <v>19.7</v>
      </c>
      <c r="F71" s="9">
        <v>0.5642842639593908</v>
      </c>
      <c r="G71" s="8">
        <v>8.5836000000000006</v>
      </c>
      <c r="H71" s="8">
        <v>10.794688000000001</v>
      </c>
      <c r="I71" s="10">
        <v>1.89</v>
      </c>
      <c r="J71" s="6">
        <v>27</v>
      </c>
    </row>
    <row r="72" spans="1:10">
      <c r="A72" s="6">
        <v>178286</v>
      </c>
      <c r="B72" s="7">
        <v>7898569765125</v>
      </c>
      <c r="C72" s="6" t="s">
        <v>8</v>
      </c>
      <c r="D72" s="6" t="s">
        <v>85</v>
      </c>
      <c r="E72" s="8">
        <v>29.1</v>
      </c>
      <c r="F72" s="9">
        <v>0.54126460481099659</v>
      </c>
      <c r="G72" s="8">
        <v>13.3492</v>
      </c>
      <c r="H72" s="8">
        <v>16.465436</v>
      </c>
      <c r="I72" s="10">
        <v>3.56</v>
      </c>
      <c r="J72" s="6">
        <v>0</v>
      </c>
    </row>
    <row r="73" spans="1:10">
      <c r="A73" s="6">
        <v>158402</v>
      </c>
      <c r="B73" s="7">
        <v>7898569765149</v>
      </c>
      <c r="C73" s="6" t="s">
        <v>8</v>
      </c>
      <c r="D73" s="6" t="s">
        <v>86</v>
      </c>
      <c r="E73" s="8">
        <v>109.22</v>
      </c>
      <c r="F73" s="9">
        <v>0.84421809192455599</v>
      </c>
      <c r="G73" s="8">
        <v>17.014499999999998</v>
      </c>
      <c r="H73" s="8">
        <v>28.084134999999996</v>
      </c>
      <c r="I73" s="10">
        <v>8.43</v>
      </c>
      <c r="J73" s="6">
        <v>39</v>
      </c>
    </row>
    <row r="74" spans="1:10">
      <c r="A74" s="6">
        <v>178656</v>
      </c>
      <c r="B74" s="7">
        <v>7898687734089</v>
      </c>
      <c r="C74" s="6" t="s">
        <v>8</v>
      </c>
      <c r="D74" s="6" t="s">
        <v>87</v>
      </c>
      <c r="E74" s="8">
        <v>27.01</v>
      </c>
      <c r="F74" s="9">
        <v>0.50644946316179196</v>
      </c>
      <c r="G74" s="8">
        <v>13.3308</v>
      </c>
      <c r="H74" s="8">
        <v>14.462864</v>
      </c>
      <c r="I74" s="10">
        <v>1.55</v>
      </c>
      <c r="J74" s="6">
        <v>168</v>
      </c>
    </row>
    <row r="75" spans="1:10">
      <c r="A75" s="6">
        <v>178657</v>
      </c>
      <c r="B75" s="7">
        <v>7898687734096</v>
      </c>
      <c r="C75" s="6" t="s">
        <v>8</v>
      </c>
      <c r="D75" s="6" t="s">
        <v>88</v>
      </c>
      <c r="E75" s="8">
        <v>51</v>
      </c>
      <c r="F75" s="9">
        <v>0.80066666666666664</v>
      </c>
      <c r="G75" s="8">
        <v>10.166</v>
      </c>
      <c r="H75" s="8">
        <v>14.913080000000001</v>
      </c>
      <c r="I75" s="10">
        <v>12.67</v>
      </c>
      <c r="J75" s="6">
        <v>6</v>
      </c>
    </row>
    <row r="76" spans="1:10">
      <c r="A76" s="6">
        <v>170589</v>
      </c>
      <c r="B76" s="7">
        <v>7898687730593</v>
      </c>
      <c r="C76" s="6" t="s">
        <v>8</v>
      </c>
      <c r="D76" s="6" t="s">
        <v>89</v>
      </c>
      <c r="E76" s="8">
        <v>34.200000000000003</v>
      </c>
      <c r="F76" s="9">
        <v>0.70527777777777789</v>
      </c>
      <c r="G76" s="8">
        <v>10.079499999999999</v>
      </c>
      <c r="H76" s="8">
        <v>10.079499999999999</v>
      </c>
      <c r="I76" s="10">
        <v>1.1599999999999999</v>
      </c>
      <c r="J76" s="6">
        <v>11</v>
      </c>
    </row>
    <row r="77" spans="1:10">
      <c r="A77" s="6">
        <v>158399</v>
      </c>
      <c r="B77" s="7">
        <v>7898569765019</v>
      </c>
      <c r="C77" s="6" t="s">
        <v>8</v>
      </c>
      <c r="D77" s="6" t="s">
        <v>90</v>
      </c>
      <c r="E77" s="8">
        <v>59.33</v>
      </c>
      <c r="F77" s="9">
        <v>0.83011124220461818</v>
      </c>
      <c r="G77" s="8">
        <v>10.079499999999999</v>
      </c>
      <c r="H77" s="8">
        <v>16.964585</v>
      </c>
      <c r="I77" s="10">
        <v>5.85</v>
      </c>
      <c r="J77" s="6">
        <v>24</v>
      </c>
    </row>
    <row r="78" spans="1:10">
      <c r="A78" s="6">
        <v>158372</v>
      </c>
      <c r="B78" s="7">
        <v>7898569765170</v>
      </c>
      <c r="C78" s="6" t="s">
        <v>8</v>
      </c>
      <c r="D78" s="6" t="s">
        <v>91</v>
      </c>
      <c r="E78" s="8">
        <v>48.82</v>
      </c>
      <c r="F78" s="9">
        <v>0.6931278164686604</v>
      </c>
      <c r="G78" s="8">
        <v>14.981499999999999</v>
      </c>
      <c r="H78" s="8">
        <v>20.909144999999999</v>
      </c>
      <c r="I78" s="10">
        <v>2.54</v>
      </c>
      <c r="J78" s="6">
        <v>35</v>
      </c>
    </row>
    <row r="79" spans="1:10">
      <c r="A79" s="6">
        <v>173085</v>
      </c>
      <c r="B79" s="7">
        <v>7898569765194</v>
      </c>
      <c r="C79" s="6" t="s">
        <v>8</v>
      </c>
      <c r="D79" s="6" t="s">
        <v>92</v>
      </c>
      <c r="E79" s="8">
        <v>85.55</v>
      </c>
      <c r="F79" s="9">
        <v>0.74846522501461132</v>
      </c>
      <c r="G79" s="8">
        <v>21.518800000000002</v>
      </c>
      <c r="H79" s="8">
        <v>28.614803999999999</v>
      </c>
      <c r="I79" s="10">
        <v>7.16</v>
      </c>
      <c r="J79" s="6">
        <v>3</v>
      </c>
    </row>
    <row r="80" spans="1:10">
      <c r="A80" s="6">
        <v>158348</v>
      </c>
      <c r="B80" s="7">
        <v>7898569765828</v>
      </c>
      <c r="C80" s="6" t="s">
        <v>8</v>
      </c>
      <c r="D80" s="6" t="s">
        <v>93</v>
      </c>
      <c r="E80" s="8">
        <v>105.33</v>
      </c>
      <c r="F80" s="9">
        <v>0.73203740624703317</v>
      </c>
      <c r="G80" s="8">
        <v>28.224499999999999</v>
      </c>
      <c r="H80" s="8">
        <v>32.250329782000001</v>
      </c>
      <c r="I80" s="10">
        <v>1.55</v>
      </c>
      <c r="J80" s="6">
        <v>61</v>
      </c>
    </row>
    <row r="81" spans="1:10">
      <c r="A81" s="6">
        <v>162442</v>
      </c>
      <c r="B81" s="7">
        <v>7898569766603</v>
      </c>
      <c r="C81" s="6" t="s">
        <v>8</v>
      </c>
      <c r="D81" s="6" t="s">
        <v>94</v>
      </c>
      <c r="E81" s="8">
        <v>9.68</v>
      </c>
      <c r="F81" s="9">
        <v>0.40314049586776857</v>
      </c>
      <c r="G81" s="8">
        <v>5.7776000000000005</v>
      </c>
      <c r="H81" s="8">
        <v>6.5719080000000005</v>
      </c>
      <c r="I81" s="10">
        <v>0.55000000000000004</v>
      </c>
      <c r="J81" s="6">
        <v>122</v>
      </c>
    </row>
    <row r="82" spans="1:10">
      <c r="A82" s="6">
        <v>162434</v>
      </c>
      <c r="B82" s="7">
        <v>7898569766610</v>
      </c>
      <c r="C82" s="6" t="s">
        <v>8</v>
      </c>
      <c r="D82" s="6" t="s">
        <v>95</v>
      </c>
      <c r="E82" s="8">
        <v>15.53</v>
      </c>
      <c r="F82" s="9">
        <v>0.56576947842884739</v>
      </c>
      <c r="G82" s="8">
        <v>6.7436000000000007</v>
      </c>
      <c r="H82" s="8">
        <v>7.596388000000001</v>
      </c>
      <c r="I82" s="10">
        <v>2.69</v>
      </c>
      <c r="J82" s="6">
        <v>25</v>
      </c>
    </row>
    <row r="83" spans="1:10">
      <c r="A83" s="6">
        <v>158330</v>
      </c>
      <c r="B83" s="7">
        <v>7898569765071</v>
      </c>
      <c r="C83" s="6" t="s">
        <v>8</v>
      </c>
      <c r="D83" s="6" t="s">
        <v>96</v>
      </c>
      <c r="E83" s="8">
        <v>49.94</v>
      </c>
      <c r="F83" s="9">
        <v>0.79816780136163401</v>
      </c>
      <c r="G83" s="8">
        <v>10.079499999999999</v>
      </c>
      <c r="H83" s="8">
        <v>16.038084999999999</v>
      </c>
      <c r="I83" s="10">
        <v>11.37</v>
      </c>
      <c r="J83" s="6">
        <v>39</v>
      </c>
    </row>
    <row r="84" spans="1:10">
      <c r="A84" s="6">
        <v>179057</v>
      </c>
      <c r="B84" s="7">
        <v>7898687734447</v>
      </c>
      <c r="C84" s="6" t="s">
        <v>8</v>
      </c>
      <c r="D84" s="6" t="s">
        <v>97</v>
      </c>
      <c r="E84" s="8">
        <v>98.94</v>
      </c>
      <c r="F84" s="9">
        <v>0.25653426318981187</v>
      </c>
      <c r="G84" s="8">
        <v>73.558500000000009</v>
      </c>
      <c r="H84" s="8">
        <v>74.384955000000005</v>
      </c>
      <c r="I84" s="10">
        <v>4.4000000000000004</v>
      </c>
      <c r="J84" s="6">
        <v>0</v>
      </c>
    </row>
    <row r="85" spans="1:10">
      <c r="A85" s="6">
        <v>179058</v>
      </c>
      <c r="B85" s="7">
        <v>7898687734454</v>
      </c>
      <c r="C85" s="6" t="s">
        <v>8</v>
      </c>
      <c r="D85" s="6" t="s">
        <v>98</v>
      </c>
      <c r="E85" s="8">
        <v>178.09</v>
      </c>
      <c r="F85" s="9">
        <v>0.19296626603874767</v>
      </c>
      <c r="G85" s="8">
        <v>143.72463768115944</v>
      </c>
      <c r="H85" s="8">
        <v>143.73574927536234</v>
      </c>
      <c r="I85" s="10">
        <v>0</v>
      </c>
      <c r="J85" s="6">
        <v>0</v>
      </c>
    </row>
    <row r="86" spans="1:10">
      <c r="A86" s="6">
        <v>179059</v>
      </c>
      <c r="B86" s="7">
        <v>7898687734485</v>
      </c>
      <c r="C86" s="6" t="s">
        <v>8</v>
      </c>
      <c r="D86" s="6" t="s">
        <v>99</v>
      </c>
      <c r="E86" s="8">
        <v>132.75</v>
      </c>
      <c r="F86" s="9">
        <v>0.30439343011752362</v>
      </c>
      <c r="G86" s="8">
        <v>92.341772151898738</v>
      </c>
      <c r="H86" s="8">
        <v>105.51303316455696</v>
      </c>
      <c r="I86" s="10">
        <v>0</v>
      </c>
      <c r="J86" s="6">
        <v>2</v>
      </c>
    </row>
    <row r="87" spans="1:10">
      <c r="A87" s="6">
        <v>179060</v>
      </c>
      <c r="B87" s="7">
        <v>7898687734492</v>
      </c>
      <c r="C87" s="6" t="s">
        <v>8</v>
      </c>
      <c r="D87" s="6" t="s">
        <v>100</v>
      </c>
      <c r="E87" s="8">
        <v>341.02</v>
      </c>
      <c r="F87" s="9">
        <v>0.30855237712031436</v>
      </c>
      <c r="G87" s="8">
        <v>235.79746835443038</v>
      </c>
      <c r="H87" s="8">
        <v>269.43067605063288</v>
      </c>
      <c r="I87" s="10">
        <v>0</v>
      </c>
      <c r="J87" s="6">
        <v>27</v>
      </c>
    </row>
    <row r="88" spans="1:10">
      <c r="A88" s="6">
        <v>179061</v>
      </c>
      <c r="B88" s="7">
        <v>7898687734522</v>
      </c>
      <c r="C88" s="6" t="s">
        <v>8</v>
      </c>
      <c r="D88" s="6" t="s">
        <v>101</v>
      </c>
      <c r="E88" s="8">
        <v>248.33</v>
      </c>
      <c r="F88" s="9">
        <v>0.26955541276597239</v>
      </c>
      <c r="G88" s="8">
        <v>181.39130434782609</v>
      </c>
      <c r="H88" s="8">
        <v>181.39130434782609</v>
      </c>
      <c r="I88" s="10">
        <v>0</v>
      </c>
      <c r="J88" s="6">
        <v>7</v>
      </c>
    </row>
    <row r="89" spans="1:10">
      <c r="A89" s="6">
        <v>179062</v>
      </c>
      <c r="B89" s="7">
        <v>7898687734409</v>
      </c>
      <c r="C89" s="6" t="s">
        <v>8</v>
      </c>
      <c r="D89" s="6" t="s">
        <v>102</v>
      </c>
      <c r="E89" s="8">
        <v>60.05</v>
      </c>
      <c r="F89" s="9">
        <v>0.25496868551569329</v>
      </c>
      <c r="G89" s="8">
        <v>44.739130434782616</v>
      </c>
      <c r="H89" s="8">
        <v>45.169378260869571</v>
      </c>
      <c r="I89" s="10">
        <v>0</v>
      </c>
      <c r="J89" s="6">
        <v>0</v>
      </c>
    </row>
    <row r="90" spans="1:10">
      <c r="A90" s="6">
        <v>178283</v>
      </c>
      <c r="B90" s="7">
        <v>7898687732863</v>
      </c>
      <c r="C90" s="6" t="s">
        <v>8</v>
      </c>
      <c r="D90" s="6" t="s">
        <v>103</v>
      </c>
      <c r="E90" s="8">
        <v>52.19</v>
      </c>
      <c r="F90" s="9">
        <v>0.61606438014945386</v>
      </c>
      <c r="G90" s="8">
        <v>20.037600000000001</v>
      </c>
      <c r="H90" s="8">
        <v>23.839207999999999</v>
      </c>
      <c r="I90" s="10">
        <v>0.11</v>
      </c>
      <c r="J90" s="6">
        <v>6</v>
      </c>
    </row>
    <row r="91" spans="1:10">
      <c r="A91" s="6">
        <v>178284</v>
      </c>
      <c r="B91" s="7">
        <v>7898687732870</v>
      </c>
      <c r="C91" s="6" t="s">
        <v>8</v>
      </c>
      <c r="D91" s="6" t="s">
        <v>104</v>
      </c>
      <c r="E91" s="8">
        <v>95.08</v>
      </c>
      <c r="F91" s="9">
        <v>0.44137042490534295</v>
      </c>
      <c r="G91" s="8">
        <v>53.114499999999992</v>
      </c>
      <c r="H91" s="8">
        <v>57.452134999999991</v>
      </c>
      <c r="I91" s="10">
        <v>2.31</v>
      </c>
      <c r="J91" s="6">
        <v>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BASE RJ</vt:lpstr>
      <vt:lpstr>BASE 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Trade mkt</dc:creator>
  <cp:lastModifiedBy>Talita Mascarenhas Nascimento</cp:lastModifiedBy>
  <dcterms:created xsi:type="dcterms:W3CDTF">2024-11-18T15:02:52Z</dcterms:created>
  <dcterms:modified xsi:type="dcterms:W3CDTF">2025-06-23T18:05:50Z</dcterms:modified>
</cp:coreProperties>
</file>